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00 StoryBook\pageCast\outputs\pagecast_launch_budget\"/>
    </mc:Choice>
  </mc:AlternateContent>
  <xr:revisionPtr revIDLastSave="0" documentId="13_ncr:1_{BA8384CA-7558-40F6-A2F7-1B6F8958E3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Assumptions" sheetId="2" r:id="rId2"/>
    <sheet name="Setup Budget" sheetId="3" r:id="rId3"/>
    <sheet name="Monthly Opex" sheetId="4" r:id="rId4"/>
    <sheet name="12-Month Cash Plan" sheetId="5" r:id="rId5"/>
    <sheet name="Service Stack" sheetId="6" r:id="rId6"/>
    <sheet name="Launch Marketing" sheetId="7" r:id="rId7"/>
    <sheet name="Sources" sheetId="8" r:id="rId8"/>
    <sheet name="Checks" sheetId="9" r:id="rId9"/>
  </sheets>
  <calcPr calcId="191029"/>
</workbook>
</file>

<file path=xl/calcChain.xml><?xml version="1.0" encoding="utf-8"?>
<calcChain xmlns="http://schemas.openxmlformats.org/spreadsheetml/2006/main">
  <c r="D13" i="7" l="1"/>
  <c r="C13" i="7"/>
  <c r="B13" i="7"/>
  <c r="E12" i="7"/>
  <c r="E11" i="7"/>
  <c r="E10" i="7"/>
  <c r="E9" i="7"/>
  <c r="E8" i="7"/>
  <c r="E7" i="7"/>
  <c r="E6" i="7"/>
  <c r="E5" i="7"/>
  <c r="E13" i="7" s="1"/>
  <c r="I10" i="5"/>
  <c r="G10" i="5"/>
  <c r="F10" i="5"/>
  <c r="M8" i="5"/>
  <c r="M10" i="5" s="1"/>
  <c r="L8" i="5"/>
  <c r="L9" i="5" s="1"/>
  <c r="K8" i="5"/>
  <c r="K9" i="5" s="1"/>
  <c r="J8" i="5"/>
  <c r="J9" i="5" s="1"/>
  <c r="I8" i="5"/>
  <c r="I9" i="5" s="1"/>
  <c r="H8" i="5"/>
  <c r="H9" i="5" s="1"/>
  <c r="G8" i="5"/>
  <c r="G9" i="5" s="1"/>
  <c r="F8" i="5"/>
  <c r="F9" i="5" s="1"/>
  <c r="E8" i="5"/>
  <c r="E10" i="5" s="1"/>
  <c r="D8" i="5"/>
  <c r="D10" i="5" s="1"/>
  <c r="C8" i="5"/>
  <c r="C10" i="5" s="1"/>
  <c r="B8" i="5"/>
  <c r="B9" i="5" s="1"/>
  <c r="M6" i="5"/>
  <c r="L6" i="5"/>
  <c r="K6" i="5"/>
  <c r="J6" i="5"/>
  <c r="I6" i="5"/>
  <c r="H6" i="5"/>
  <c r="G6" i="5"/>
  <c r="F6" i="5"/>
  <c r="E6" i="5"/>
  <c r="D6" i="5"/>
  <c r="C6" i="5"/>
  <c r="B5" i="5"/>
  <c r="G19" i="4"/>
  <c r="F19" i="4"/>
  <c r="D19" i="4"/>
  <c r="C19" i="4"/>
  <c r="E19" i="4" s="1"/>
  <c r="B19" i="4"/>
  <c r="A19" i="4"/>
  <c r="G18" i="4"/>
  <c r="F18" i="4"/>
  <c r="D18" i="4"/>
  <c r="C18" i="4"/>
  <c r="E18" i="4" s="1"/>
  <c r="B18" i="4"/>
  <c r="A18" i="4"/>
  <c r="G17" i="4"/>
  <c r="F17" i="4"/>
  <c r="D17" i="4"/>
  <c r="C17" i="4"/>
  <c r="E17" i="4" s="1"/>
  <c r="B17" i="4"/>
  <c r="A17" i="4"/>
  <c r="G16" i="4"/>
  <c r="F16" i="4"/>
  <c r="D16" i="4"/>
  <c r="C16" i="4"/>
  <c r="E16" i="4" s="1"/>
  <c r="B16" i="4"/>
  <c r="A16" i="4"/>
  <c r="G15" i="4"/>
  <c r="F15" i="4"/>
  <c r="D15" i="4"/>
  <c r="C15" i="4"/>
  <c r="E15" i="4" s="1"/>
  <c r="B15" i="4"/>
  <c r="A15" i="4"/>
  <c r="G14" i="4"/>
  <c r="F14" i="4"/>
  <c r="D14" i="4"/>
  <c r="C14" i="4"/>
  <c r="E14" i="4" s="1"/>
  <c r="B14" i="4"/>
  <c r="A14" i="4"/>
  <c r="G13" i="4"/>
  <c r="F13" i="4"/>
  <c r="D13" i="4"/>
  <c r="C13" i="4"/>
  <c r="E13" i="4" s="1"/>
  <c r="B13" i="4"/>
  <c r="A13" i="4"/>
  <c r="G12" i="4"/>
  <c r="F12" i="4"/>
  <c r="D12" i="4"/>
  <c r="C12" i="4"/>
  <c r="E12" i="4" s="1"/>
  <c r="B12" i="4"/>
  <c r="A12" i="4"/>
  <c r="G11" i="4"/>
  <c r="F11" i="4"/>
  <c r="D11" i="4"/>
  <c r="C11" i="4"/>
  <c r="E11" i="4" s="1"/>
  <c r="B11" i="4"/>
  <c r="A11" i="4"/>
  <c r="G10" i="4"/>
  <c r="F10" i="4"/>
  <c r="D10" i="4"/>
  <c r="C10" i="4"/>
  <c r="E10" i="4" s="1"/>
  <c r="B10" i="4"/>
  <c r="A10" i="4"/>
  <c r="G9" i="4"/>
  <c r="F9" i="4"/>
  <c r="D9" i="4"/>
  <c r="C9" i="4"/>
  <c r="E9" i="4" s="1"/>
  <c r="B9" i="4"/>
  <c r="A9" i="4"/>
  <c r="G8" i="4"/>
  <c r="F8" i="4"/>
  <c r="D8" i="4"/>
  <c r="C8" i="4"/>
  <c r="E8" i="4" s="1"/>
  <c r="B8" i="4"/>
  <c r="A8" i="4"/>
  <c r="G7" i="4"/>
  <c r="F7" i="4"/>
  <c r="D7" i="4"/>
  <c r="C7" i="4"/>
  <c r="E7" i="4" s="1"/>
  <c r="B7" i="4"/>
  <c r="A7" i="4"/>
  <c r="G6" i="4"/>
  <c r="F6" i="4"/>
  <c r="D6" i="4"/>
  <c r="C6" i="4"/>
  <c r="E6" i="4" s="1"/>
  <c r="B6" i="4"/>
  <c r="A6" i="4"/>
  <c r="G5" i="4"/>
  <c r="F5" i="4"/>
  <c r="D5" i="4"/>
  <c r="D20" i="4" s="1"/>
  <c r="D6" i="1" s="1"/>
  <c r="C5" i="4"/>
  <c r="C20" i="4" s="1"/>
  <c r="C6" i="1" s="1"/>
  <c r="B5" i="4"/>
  <c r="B20" i="4" s="1"/>
  <c r="B6" i="1" s="1"/>
  <c r="A5" i="4"/>
  <c r="F13" i="3"/>
  <c r="D13" i="3"/>
  <c r="C13" i="3"/>
  <c r="E13" i="3" s="1"/>
  <c r="B13" i="3"/>
  <c r="A13" i="3"/>
  <c r="F12" i="3"/>
  <c r="D12" i="3"/>
  <c r="C12" i="3"/>
  <c r="E12" i="3" s="1"/>
  <c r="B12" i="3"/>
  <c r="A12" i="3"/>
  <c r="F11" i="3"/>
  <c r="D11" i="3"/>
  <c r="C11" i="3"/>
  <c r="E11" i="3" s="1"/>
  <c r="B11" i="3"/>
  <c r="A11" i="3"/>
  <c r="F10" i="3"/>
  <c r="E10" i="3"/>
  <c r="D10" i="3"/>
  <c r="C10" i="3"/>
  <c r="B10" i="3"/>
  <c r="A10" i="3"/>
  <c r="F9" i="3"/>
  <c r="D9" i="3"/>
  <c r="C9" i="3"/>
  <c r="E9" i="3" s="1"/>
  <c r="B9" i="3"/>
  <c r="A9" i="3"/>
  <c r="F8" i="3"/>
  <c r="D8" i="3"/>
  <c r="C8" i="3"/>
  <c r="E8" i="3" s="1"/>
  <c r="B8" i="3"/>
  <c r="A8" i="3"/>
  <c r="F7" i="3"/>
  <c r="E7" i="3"/>
  <c r="D7" i="3"/>
  <c r="C7" i="3"/>
  <c r="B7" i="3"/>
  <c r="A7" i="3"/>
  <c r="F6" i="3"/>
  <c r="D6" i="3"/>
  <c r="C6" i="3"/>
  <c r="E6" i="3" s="1"/>
  <c r="B6" i="3"/>
  <c r="A6" i="3"/>
  <c r="F5" i="3"/>
  <c r="D5" i="3"/>
  <c r="D14" i="3" s="1"/>
  <c r="C5" i="3"/>
  <c r="C14" i="3" s="1"/>
  <c r="B5" i="3"/>
  <c r="B14" i="3" s="1"/>
  <c r="A5" i="3"/>
  <c r="B10" i="1"/>
  <c r="C9" i="5" l="1"/>
  <c r="H10" i="5"/>
  <c r="D9" i="5"/>
  <c r="E9" i="5"/>
  <c r="J10" i="5"/>
  <c r="D15" i="3"/>
  <c r="D16" i="3"/>
  <c r="D5" i="1" s="1"/>
  <c r="B15" i="3"/>
  <c r="B16" i="3" s="1"/>
  <c r="B5" i="1" s="1"/>
  <c r="C15" i="3"/>
  <c r="C16" i="3" s="1"/>
  <c r="C5" i="1" s="1"/>
  <c r="M9" i="5"/>
  <c r="N9" i="5" s="1"/>
  <c r="B10" i="5"/>
  <c r="N8" i="5"/>
  <c r="E5" i="3"/>
  <c r="E14" i="3" s="1"/>
  <c r="L10" i="5"/>
  <c r="E5" i="4"/>
  <c r="K10" i="5"/>
  <c r="C9" i="1" l="1"/>
  <c r="C8" i="1"/>
  <c r="C7" i="1"/>
  <c r="B9" i="1"/>
  <c r="B8" i="1"/>
  <c r="B7" i="1"/>
  <c r="D9" i="1"/>
  <c r="D7" i="1"/>
  <c r="D8" i="1"/>
  <c r="N10" i="5"/>
  <c r="C6" i="9"/>
  <c r="E20" i="4"/>
  <c r="E15" i="3"/>
  <c r="C5" i="9" s="1"/>
  <c r="F7" i="5" l="1"/>
  <c r="F11" i="5" s="1"/>
  <c r="B7" i="5"/>
  <c r="E7" i="5"/>
  <c r="E11" i="5" s="1"/>
  <c r="K7" i="5"/>
  <c r="K11" i="5" s="1"/>
  <c r="D7" i="5"/>
  <c r="D11" i="5" s="1"/>
  <c r="C7" i="5"/>
  <c r="C11" i="5" s="1"/>
  <c r="L7" i="5"/>
  <c r="L11" i="5" s="1"/>
  <c r="M7" i="5"/>
  <c r="M11" i="5" s="1"/>
  <c r="B6" i="9"/>
  <c r="D6" i="9" s="1"/>
  <c r="E6" i="9" s="1"/>
  <c r="J7" i="5"/>
  <c r="J11" i="5" s="1"/>
  <c r="I7" i="5"/>
  <c r="I11" i="5" s="1"/>
  <c r="H7" i="5"/>
  <c r="H11" i="5" s="1"/>
  <c r="G7" i="5"/>
  <c r="G11" i="5" s="1"/>
  <c r="E16" i="3"/>
  <c r="B5" i="9" l="1"/>
  <c r="D5" i="9" s="1"/>
  <c r="E5" i="9" s="1"/>
  <c r="B6" i="5"/>
  <c r="N7" i="5"/>
  <c r="N6" i="5" l="1"/>
  <c r="B11" i="5"/>
  <c r="N11" i="5" l="1"/>
  <c r="B12" i="5"/>
  <c r="B13" i="5" l="1"/>
  <c r="C5" i="5"/>
  <c r="C12" i="5" s="1"/>
  <c r="B14" i="5"/>
  <c r="C13" i="5" l="1"/>
  <c r="C14" i="5"/>
  <c r="D5" i="5"/>
  <c r="D12" i="5" s="1"/>
  <c r="D13" i="5" l="1"/>
  <c r="D14" i="5"/>
  <c r="E5" i="5"/>
  <c r="E12" i="5" s="1"/>
  <c r="E13" i="5" l="1"/>
  <c r="F5" i="5"/>
  <c r="F12" i="5" s="1"/>
  <c r="E14" i="5"/>
  <c r="G5" i="5" l="1"/>
  <c r="G12" i="5" s="1"/>
  <c r="F13" i="5"/>
  <c r="F14" i="5"/>
  <c r="G13" i="5" l="1"/>
  <c r="G14" i="5"/>
  <c r="H5" i="5"/>
  <c r="H12" i="5" s="1"/>
  <c r="H13" i="5" l="1"/>
  <c r="H14" i="5"/>
  <c r="I5" i="5"/>
  <c r="I12" i="5" s="1"/>
  <c r="J5" i="5" l="1"/>
  <c r="J12" i="5" s="1"/>
  <c r="I14" i="5"/>
  <c r="I13" i="5"/>
  <c r="J14" i="5" l="1"/>
  <c r="K5" i="5"/>
  <c r="K12" i="5" s="1"/>
  <c r="J13" i="5"/>
  <c r="K14" i="5" l="1"/>
  <c r="L5" i="5"/>
  <c r="L12" i="5" s="1"/>
  <c r="K13" i="5"/>
  <c r="M5" i="5" l="1"/>
  <c r="L13" i="5"/>
  <c r="L14" i="5"/>
  <c r="N5" i="5" l="1"/>
  <c r="C8" i="9"/>
  <c r="M12" i="5"/>
  <c r="B8" i="9" l="1"/>
  <c r="D8" i="9" s="1"/>
  <c r="E8" i="9" s="1"/>
  <c r="M13" i="5"/>
  <c r="M14" i="5"/>
  <c r="N14" i="5" s="1"/>
  <c r="N12" i="5"/>
  <c r="N13" i="5" l="1"/>
  <c r="B7" i="9" s="1"/>
  <c r="C7" i="9"/>
  <c r="D7" i="9" l="1"/>
  <c r="E7" i="9" s="1"/>
  <c r="E9" i="9" s="1"/>
  <c r="B11" i="1" s="1"/>
</calcChain>
</file>

<file path=xl/sharedStrings.xml><?xml version="1.0" encoding="utf-8"?>
<sst xmlns="http://schemas.openxmlformats.org/spreadsheetml/2006/main" count="473" uniqueCount="300">
  <si>
    <t>PageCast Launch Budget Dashboard</t>
  </si>
  <si>
    <t>Solopreneur launch budget for domain, database, email, infrastructure, content, legal, and operations.</t>
  </si>
  <si>
    <t>Budget Summary</t>
  </si>
  <si>
    <t>Lean</t>
  </si>
  <si>
    <t>Recommended</t>
  </si>
  <si>
    <t>Safer Launch</t>
  </si>
  <si>
    <t>Recommended Launch Budget</t>
  </si>
  <si>
    <t>What It Means</t>
  </si>
  <si>
    <t>One-time setup total</t>
  </si>
  <si>
    <t>Minimum viable cash target</t>
  </si>
  <si>
    <t>Use 3 months of selected scenario budget as the absolute floor.</t>
  </si>
  <si>
    <t>Monthly operating cost</t>
  </si>
  <si>
    <t>Practical launch cash target</t>
  </si>
  <si>
    <t>Use 6 months of selected scenario budget so you can survive slow validation.</t>
  </si>
  <si>
    <t>First 3 months cash needed</t>
  </si>
  <si>
    <t>Recommended scenario</t>
  </si>
  <si>
    <t>Recommended: professional enough for public launch without pretending you have a team.</t>
  </si>
  <si>
    <t>First 6 months cash needed</t>
  </si>
  <si>
    <t>Domain</t>
  </si>
  <si>
    <t>Budget about $15/year for .com-style domain; confirm checkout price.</t>
  </si>
  <si>
    <t>First 12 months cash needed</t>
  </si>
  <si>
    <t>Database/Auth</t>
  </si>
  <si>
    <t>Supabase Pro at launch is safer than free tier once real users and payments arrive.</t>
  </si>
  <si>
    <t>Selected scenario</t>
  </si>
  <si>
    <t>Email</t>
  </si>
  <si>
    <t>Use one business inbox plus transactional email for auth, receipts, and creator workflows.</t>
  </si>
  <si>
    <t>Model status</t>
  </si>
  <si>
    <t>Biggest optional spend</t>
  </si>
  <si>
    <t>Marketing and launch catalog quality. These can be throttled without breaking the platform.</t>
  </si>
  <si>
    <t>Biggest risk</t>
  </si>
  <si>
    <t>Under-budgeting legal/compliance and content quality for a family/children product.</t>
  </si>
  <si>
    <t>PageCast Launch Budget Assumptions</t>
  </si>
  <si>
    <t>Solopreneur launch budget. Blue/yellow cells are editable; model outputs update from this tab.</t>
  </si>
  <si>
    <t>Scenario Selector</t>
  </si>
  <si>
    <t>Monthly Operating Budget Inputs</t>
  </si>
  <si>
    <t>Selected Scenario</t>
  </si>
  <si>
    <t>Currency</t>
  </si>
  <si>
    <t>USD</t>
  </si>
  <si>
    <t>Cost Item</t>
  </si>
  <si>
    <t>Category</t>
  </si>
  <si>
    <t>Notes</t>
  </si>
  <si>
    <t>Hosting - Vercel</t>
  </si>
  <si>
    <t>Infrastructure</t>
  </si>
  <si>
    <t>Hobby for early tests; Pro for production/commercial use</t>
  </si>
  <si>
    <t>Database/Auth - Supabase</t>
  </si>
  <si>
    <t>Free for early tests; Pro recommended before launch</t>
  </si>
  <si>
    <t>Setup and Pre-Launch Budget Inputs</t>
  </si>
  <si>
    <t>Object storage - Cloudflare R2</t>
  </si>
  <si>
    <t>Audio/covers storage buffer; usage based</t>
  </si>
  <si>
    <t>Type</t>
  </si>
  <si>
    <t>Transactional email - Resend</t>
  </si>
  <si>
    <t>Free tier initially; Pro if volume/branding requires</t>
  </si>
  <si>
    <t>Domain registration / transfer</t>
  </si>
  <si>
    <t>One-time</t>
  </si>
  <si>
    <t>.com or similar; renewal may vary</t>
  </si>
  <si>
    <t>Business email - Google/Zoho</t>
  </si>
  <si>
    <t>One solopreneur inbox</t>
  </si>
  <si>
    <t>Business email setup</t>
  </si>
  <si>
    <t>One-time/annual</t>
  </si>
  <si>
    <t>Zoho low-cost or Google Workspace first year</t>
  </si>
  <si>
    <t>AI text / assistant tools</t>
  </si>
  <si>
    <t>AI tools</t>
  </si>
  <si>
    <t>Writing, support, content ops</t>
  </si>
  <si>
    <t>Legal policy review / templates</t>
  </si>
  <si>
    <t>Privacy, terms, creator terms, copyright/takedown</t>
  </si>
  <si>
    <t>AI voice / TTS credits</t>
  </si>
  <si>
    <t>Audio</t>
  </si>
  <si>
    <t>Starter/creator/pro depending on production needs</t>
  </si>
  <si>
    <t>Business registration / accounting setup</t>
  </si>
  <si>
    <t>Entity, bookkeeping, tax setup</t>
  </si>
  <si>
    <t>Design tools</t>
  </si>
  <si>
    <t>Creative</t>
  </si>
  <si>
    <t>Canva or equivalent</t>
  </si>
  <si>
    <t>Branding / landing assets</t>
  </si>
  <si>
    <t>Logo polish, screenshots, social graphics</t>
  </si>
  <si>
    <t>Analytics / monitoring</t>
  </si>
  <si>
    <t>Free tier first; paid monitoring buffer</t>
  </si>
  <si>
    <t>Launch catalog production</t>
  </si>
  <si>
    <t>10 flagship stories, covers, audio passes, QA</t>
  </si>
  <si>
    <t>Accounting / invoicing tools</t>
  </si>
  <si>
    <t>Operations</t>
  </si>
  <si>
    <t>May start with spreadsheets</t>
  </si>
  <si>
    <t>Initial audio/music/SFX library</t>
  </si>
  <si>
    <t>Licensed music, SFX, premium voice credits</t>
  </si>
  <si>
    <t>Legal/compliance reserve</t>
  </si>
  <si>
    <t>Monthly reserve for reviews, notices, admin</t>
  </si>
  <si>
    <t>Compliance / child-safety review buffer</t>
  </si>
  <si>
    <t>Extra review before family/children marketing</t>
  </si>
  <si>
    <t>Customer support / moderation reserve</t>
  </si>
  <si>
    <t>Solo time plus occasional help</t>
  </si>
  <si>
    <t>Payment test budget</t>
  </si>
  <si>
    <t>Test transactions, refunds, payment edge cases</t>
  </si>
  <si>
    <t>Marketing tests</t>
  </si>
  <si>
    <t>Marketing</t>
  </si>
  <si>
    <t>Short-form demos, parent communities, creator tests</t>
  </si>
  <si>
    <t>Launch contingency</t>
  </si>
  <si>
    <t>%</t>
  </si>
  <si>
    <t>Contingency applied to one-time setup subtotal</t>
  </si>
  <si>
    <t>Community / creator incentives</t>
  </si>
  <si>
    <t>Beta rewards, small creator payments, giveaways</t>
  </si>
  <si>
    <t>Misc SaaS buffer</t>
  </si>
  <si>
    <t>Unexpected tools, plugins, templates</t>
  </si>
  <si>
    <t>Cash Plan Inputs</t>
  </si>
  <si>
    <t>Input</t>
  </si>
  <si>
    <t>Unit</t>
  </si>
  <si>
    <t>Starting cash available</t>
  </si>
  <si>
    <t>$</t>
  </si>
  <si>
    <t>Cash reserved specifically for PageCast launch</t>
  </si>
  <si>
    <t>Months before paid launch</t>
  </si>
  <si>
    <t>months</t>
  </si>
  <si>
    <t>Pre-launch runway before first revenue</t>
  </si>
  <si>
    <t>Average paid unlock price</t>
  </si>
  <si>
    <t>Story unlock price</t>
  </si>
  <si>
    <t>Creator payout share</t>
  </si>
  <si>
    <t>Share of story unlock GMV paid to creators</t>
  </si>
  <si>
    <t>Payment processing variable fee</t>
  </si>
  <si>
    <t>Stripe/payment processing assumption</t>
  </si>
  <si>
    <t>One-Time Setup Budget</t>
  </si>
  <si>
    <t>Pre-launch cash needed before public launch.</t>
  </si>
  <si>
    <t>Item</t>
  </si>
  <si>
    <t>Selected</t>
  </si>
  <si>
    <t>Subtotal before contingency</t>
  </si>
  <si>
    <t>Contingency</t>
  </si>
  <si>
    <t>Total setup budget</t>
  </si>
  <si>
    <t>Monthly Operating Budget</t>
  </si>
  <si>
    <t>Recurring monthly cost to keep PageCast live as a solopreneur.</t>
  </si>
  <si>
    <t>Total monthly opex</t>
  </si>
  <si>
    <t>12-Month Cash Plan</t>
  </si>
  <si>
    <t>Simple cash runway model for the selected scenario.</t>
  </si>
  <si>
    <t>Metric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</si>
  <si>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</si>
  <si>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</si>
  <si>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</si>
  <si>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</si>
  <si>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</si>
  <si>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</si>
  <si>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</si>
  <si>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</si>
  <si>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</si>
  <si>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</si>
  <si>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</si>
  <si>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</si>
  <si>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</t>
  </si>
  <si>
    <t>Beginning cash</t>
  </si>
  <si>
    <t>One-time setup spend</t>
  </si>
  <si>
    <t>Monthly opex</t>
  </si>
  <si>
    <t>Gross revenue</t>
  </si>
  <si>
    <t>Creator payouts</t>
  </si>
  <si>
    <t>Payment fees</t>
  </si>
  <si>
    <t>Net cash flow</t>
  </si>
  <si>
    <t>Ending cash</t>
  </si>
  <si>
    <t>Minimum extra funding needed</t>
  </si>
  <si>
    <t>Runway status</t>
  </si>
  <si>
    <t>Recommended Service Stack</t>
  </si>
  <si>
    <t>Practical default setup for a PageCast solopreneur launch.</t>
  </si>
  <si>
    <t>Area</t>
  </si>
  <si>
    <t>Recommended Tool</t>
  </si>
  <si>
    <t>Monthly Budget</t>
  </si>
  <si>
    <t>Annual/Setup</t>
  </si>
  <si>
    <t>Priority</t>
  </si>
  <si>
    <t>Why</t>
  </si>
  <si>
    <t>Domain/DNS</t>
  </si>
  <si>
    <t>Cloudflare Registrar + DNS</t>
  </si>
  <si>
    <t>Must-have</t>
  </si>
  <si>
    <t>Low-renewal domain, strong DNS, SSL/CDN basics</t>
  </si>
  <si>
    <t>Hosting</t>
  </si>
  <si>
    <t>Vercel Pro</t>
  </si>
  <si>
    <t>Production Next.js hosting for reader/studio apps</t>
  </si>
  <si>
    <t>Supabase Pro</t>
  </si>
  <si>
    <t>Postgres, Auth, Storage/RLS; Pro before serious public launch</t>
  </si>
  <si>
    <t>Object Storage</t>
  </si>
  <si>
    <t>Cloudflare R2</t>
  </si>
  <si>
    <t>Audio and cover storage with no egress fees</t>
  </si>
  <si>
    <t>Transactional Email</t>
  </si>
  <si>
    <t>Resend</t>
  </si>
  <si>
    <t>Should-have</t>
  </si>
  <si>
    <t>Login, purchase, creator/admin notifications</t>
  </si>
  <si>
    <t>Business Email</t>
  </si>
  <si>
    <t>Google Workspace</t>
  </si>
  <si>
    <t>Domain email and trust for support/legal contact</t>
  </si>
  <si>
    <t>Payments</t>
  </si>
  <si>
    <t>Stripe</t>
  </si>
  <si>
    <t>No fixed monthly fee; variable processing fees</t>
  </si>
  <si>
    <t>AI Text</t>
  </si>
  <si>
    <t>OpenAI API / ChatGPT</t>
  </si>
  <si>
    <t>Story editing, content ops, support, metadata</t>
  </si>
  <si>
    <t>AI Voice</t>
  </si>
  <si>
    <t>ElevenLabs or OpenAI TTS</t>
  </si>
  <si>
    <t>Narration/character voice production</t>
  </si>
  <si>
    <t>Design</t>
  </si>
  <si>
    <t>Could defer</t>
  </si>
  <si>
    <t>Launch graphics and social/video assets</t>
  </si>
  <si>
    <t>Analytics</t>
  </si>
  <si>
    <t>Free tier first</t>
  </si>
  <si>
    <t>Track funnel, activation, story completion</t>
  </si>
  <si>
    <t>Accounting</t>
  </si>
  <si>
    <t>Spreadsheet first</t>
  </si>
  <si>
    <t>Upgrade when revenue starts</t>
  </si>
  <si>
    <t>Legal</t>
  </si>
  <si>
    <t>Counsel/templates</t>
  </si>
  <si>
    <t>Children/privacy/copyright risk management</t>
  </si>
  <si>
    <t>Paid test budget</t>
  </si>
  <si>
    <t>Validate parent and creator demand</t>
  </si>
  <si>
    <t>Launch Marketing Budget</t>
  </si>
  <si>
    <t>First 90-day launch spend plan focused on proof, not vanity.</t>
  </si>
  <si>
    <t>Channel / Activity</t>
  </si>
  <si>
    <t>Month 1</t>
  </si>
  <si>
    <t>Month 2</t>
  </si>
  <si>
    <t>Month 3</t>
  </si>
  <si>
    <t>Goal</t>
  </si>
  <si>
    <t>Short-form demo production</t>
  </si>
  <si>
    <t>Create 10-20 clips comparing ebook/audiobook/PageCast</t>
  </si>
  <si>
    <t>TikTok/Reels paid tests</t>
  </si>
  <si>
    <t>Find parent/creator messages that convert</t>
  </si>
  <si>
    <t>Parent/community collaborations</t>
  </si>
  <si>
    <t>Islamic parenting, homeschool, teacher groups</t>
  </si>
  <si>
    <t>Creator pilot incentives</t>
  </si>
  <si>
    <t>Get early authors/educators to publish</t>
  </si>
  <si>
    <t>Beta family rewards/giveaways</t>
  </si>
  <si>
    <t>Encourage testimonials and referrals</t>
  </si>
  <si>
    <t>Email/landing copy/tools</t>
  </si>
  <si>
    <t>Lead capture and onboarding polish</t>
  </si>
  <si>
    <t>PR/community outreach</t>
  </si>
  <si>
    <t>Local press, education communities</t>
  </si>
  <si>
    <t>Buffer</t>
  </si>
  <si>
    <t>Unplanned creative tests</t>
  </si>
  <si>
    <t>Pricing Sources</t>
  </si>
  <si>
    <t>Current public pricing references checked on 2026-05-17. Confirm exact checkout pricing before purchase.</t>
  </si>
  <si>
    <t>Cost Area</t>
  </si>
  <si>
    <t>Source</t>
  </si>
  <si>
    <t>URL</t>
  </si>
  <si>
    <t>Vercel Pricing</t>
  </si>
  <si>
    <t>https://vercel.com/pricing</t>
  </si>
  <si>
    <t>Pro listed at $20/month</t>
  </si>
  <si>
    <t>Hosting plan docs</t>
  </si>
  <si>
    <t>Vercel Account Plans</t>
  </si>
  <si>
    <t>https://vercel.com/docs/plans</t>
  </si>
  <si>
    <t>Hobby, Pro, Enterprise plan context</t>
  </si>
  <si>
    <t>Supabase Pricing</t>
  </si>
  <si>
    <t>https://supabase.com/pricing</t>
  </si>
  <si>
    <t>Pro commonly listed at $25/month; free tier available</t>
  </si>
  <si>
    <t>Object storage</t>
  </si>
  <si>
    <t>Cloudflare R2 Pricing</t>
  </si>
  <si>
    <t>https://developers.cloudflare.com/r2/pricing/</t>
  </si>
  <si>
    <t>Storage and Class A/B operations; no egress fees</t>
  </si>
  <si>
    <t>Domain registrar</t>
  </si>
  <si>
    <t>Cloudflare Registrar</t>
  </si>
  <si>
    <t>https://developers.cloudflare.com/registrar/</t>
  </si>
  <si>
    <t>At-cost domain registration/renewal model</t>
  </si>
  <si>
    <t>Domain alternative</t>
  </si>
  <si>
    <t>Namecheap Domains</t>
  </si>
  <si>
    <t>https://www.namecheap.com/domains/</t>
  </si>
  <si>
    <t>Domain search and registrar pricing reference</t>
  </si>
  <si>
    <t>Business email</t>
  </si>
  <si>
    <t>Google Workspace Pricing</t>
  </si>
  <si>
    <t>https://workspace.google.com/intl/en/pricing/</t>
  </si>
  <si>
    <t>Business Starter pricing and email/storage feature reference</t>
  </si>
  <si>
    <t>Low-cost email</t>
  </si>
  <si>
    <t>Zoho Workplace PDF</t>
  </si>
  <si>
    <t>https://www.zoho.com.cn/sites/default/files/workplace/zoho-workplace-plan-comparison-usd.pdf</t>
  </si>
  <si>
    <t>Mail Lite around $1/user/month annually</t>
  </si>
  <si>
    <t>Transactional email</t>
  </si>
  <si>
    <t>Resend Pricing</t>
  </si>
  <si>
    <t>https://resend.com/pricing</t>
  </si>
  <si>
    <t>Free/pro transactional email plans</t>
  </si>
  <si>
    <t>Stripe Malaysia Pricing</t>
  </si>
  <si>
    <t>https://stripe.com/en-my/pricing</t>
  </si>
  <si>
    <t>Variable transaction fees; no fixed monthly fee assumed</t>
  </si>
  <si>
    <t>AI/API</t>
  </si>
  <si>
    <t>OpenAI API Pricing</t>
  </si>
  <si>
    <t>https://openai.com/api/pricing/</t>
  </si>
  <si>
    <t>AI text/audio cost reference</t>
  </si>
  <si>
    <t>AI voice</t>
  </si>
  <si>
    <t>ElevenLabs Pricing</t>
  </si>
  <si>
    <t>https://elevenlabs.io/pricing</t>
  </si>
  <si>
    <t>Voice generation paid tiers; verify current plan at checkout</t>
  </si>
  <si>
    <t>Internal research</t>
  </si>
  <si>
    <t>PageCast Marketing Research</t>
  </si>
  <si>
    <t>docs/MARKETING_COMPETITOR_RESEARCH.md</t>
  </si>
  <si>
    <t>Launch positioning, audience, and competitor research</t>
  </si>
  <si>
    <t>Internal model</t>
  </si>
  <si>
    <t>PageCast Business Model</t>
  </si>
  <si>
    <t>outputs/pagecast_business_model/PageCast_Business_Model.xlsx</t>
  </si>
  <si>
    <t>Business model workbook created earlier</t>
  </si>
  <si>
    <t>Model Checks</t>
  </si>
  <si>
    <t>Budget tie-outs for launch budget workbook.</t>
  </si>
  <si>
    <t>Check</t>
  </si>
  <si>
    <t>Actual</t>
  </si>
  <si>
    <t>Expected</t>
  </si>
  <si>
    <t>Difference</t>
  </si>
  <si>
    <t>Status</t>
  </si>
  <si>
    <t>Setup selected total ties</t>
  </si>
  <si>
    <t>Setup Budget selected equals subtotal plus contingency</t>
  </si>
  <si>
    <t>Monthly selected total ties</t>
  </si>
  <si>
    <t>Monthly Opex selected equals sum of selected items</t>
  </si>
  <si>
    <t>Cash plan total funding ties</t>
  </si>
  <si>
    <t>Total funding equals sum of monthly funding needs</t>
  </si>
  <si>
    <t>Ending cash formula final month</t>
  </si>
  <si>
    <t>Ending cash equals beginning cash plus net cash flow in M12</t>
  </si>
  <si>
    <t>All checks should show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</si>
</sst>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#,##0\);\-"/>
    <numFmt numFmtId="165" formatCode="0.0%;[Red]\(0.0%\);\-"/>
  </numFmts>
  <fonts count="9">
    <font>
      <sz val="11"/>
      <name val="Carlito"/>
    </font>
    <font>
      <b/>
      <sz val="18"/>
      <color rgb="FFFFFFFF"/>
      <name val="Carlito"/>
    </font>
    <font>
      <b/>
      <sz val="10"/>
      <color rgb="FF111827"/>
      <name val="Carlito"/>
    </font>
    <font>
      <sz val="10"/>
      <color rgb="FF111827"/>
      <name val="Carlito"/>
    </font>
    <font>
      <i/>
      <sz val="10"/>
      <color rgb="FF111827"/>
      <name val="Carlito"/>
    </font>
    <font>
      <i/>
      <sz val="10"/>
      <color theme="0"/>
      <name val="Carlito"/>
    </font>
    <font>
      <b/>
      <sz val="10"/>
      <color theme="0"/>
      <name val="Carlito"/>
    </font>
    <font>
      <sz val="11"/>
      <color theme="0"/>
      <name val="Carlito"/>
    </font>
    <font>
      <sz val="10"/>
      <color theme="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25324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6D5DFB"/>
      </patternFill>
    </fill>
    <fill>
      <patternFill patternType="solid">
        <fgColor rgb="FFEDEFF7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2" fillId="6" borderId="0" xfId="0" applyFont="1" applyFill="1" applyAlignment="1">
      <alignment horizontal="center" wrapText="1"/>
    </xf>
    <xf numFmtId="0" fontId="3" fillId="4" borderId="0" xfId="0" applyFont="1" applyFill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1" fillId="0" borderId="0" xfId="0" applyFont="1"/>
    <xf numFmtId="0" fontId="3" fillId="5" borderId="0" xfId="0" applyFont="1" applyFill="1" applyAlignment="1">
      <alignment vertical="top" wrapText="1"/>
    </xf>
    <xf numFmtId="164" fontId="3" fillId="5" borderId="0" xfId="0" applyNumberFormat="1" applyFont="1" applyFill="1" applyAlignment="1">
      <alignment vertical="top" wrapText="1"/>
    </xf>
    <xf numFmtId="165" fontId="3" fillId="5" borderId="0" xfId="0" applyNumberFormat="1" applyFont="1" applyFill="1" applyAlignment="1">
      <alignment vertical="top" wrapText="1"/>
    </xf>
    <xf numFmtId="164" fontId="2" fillId="7" borderId="0" xfId="0" applyNumberFormat="1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2" borderId="0" xfId="0" applyFont="1" applyFill="1" applyAlignment="1">
      <alignment horizontal="left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0" fontId="2" fillId="6" borderId="0" xfId="0" applyFont="1" applyFill="1" applyAlignment="1">
      <alignment horizontal="left" wrapText="1" indent="1"/>
    </xf>
    <xf numFmtId="0" fontId="3" fillId="4" borderId="0" xfId="0" applyFont="1" applyFill="1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7" fillId="0" borderId="0" xfId="0" applyFont="1"/>
    <xf numFmtId="0" fontId="3" fillId="4" borderId="0" xfId="0" applyFont="1" applyFill="1" applyAlignment="1">
      <alignment vertical="top"/>
    </xf>
    <xf numFmtId="0" fontId="6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/>
    </xf>
    <xf numFmtId="0" fontId="8" fillId="0" borderId="0" xfId="0" applyFont="1"/>
    <xf numFmtId="0" fontId="5" fillId="3" borderId="0" xfId="0" applyFont="1" applyFill="1" applyAlignment="1"/>
    <xf numFmtId="0" fontId="5" fillId="3" borderId="0" xfId="0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showGridLines="0" tabSelected="1" workbookViewId="0">
      <selection activeCell="B33" sqref="B33"/>
    </sheetView>
  </sheetViews>
  <sheetFormatPr defaultRowHeight="14.25"/>
  <cols>
    <col min="1" max="1" width="30.25" customWidth="1"/>
    <col min="2" max="4" width="18.125" customWidth="1"/>
    <col min="5" max="5" width="7.375" customWidth="1"/>
    <col min="6" max="6" width="30.25" customWidth="1"/>
    <col min="7" max="7" width="41" customWidth="1"/>
  </cols>
  <sheetData>
    <row r="1" spans="1:14" ht="25.5" customHeight="1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6"/>
      <c r="I1" s="6"/>
      <c r="J1" s="6"/>
      <c r="K1" s="6"/>
      <c r="L1" s="6"/>
      <c r="M1" s="6"/>
      <c r="N1" s="6"/>
    </row>
    <row r="2" spans="1:14" s="20" customFormat="1">
      <c r="A2" s="14" t="s">
        <v>1</v>
      </c>
      <c r="B2" s="14" t="s">
        <v>1</v>
      </c>
      <c r="C2" s="14" t="s">
        <v>1</v>
      </c>
      <c r="D2" s="14" t="s">
        <v>1</v>
      </c>
      <c r="E2" s="14" t="s">
        <v>1</v>
      </c>
      <c r="F2" s="14" t="s">
        <v>1</v>
      </c>
      <c r="G2" s="14" t="s">
        <v>1</v>
      </c>
      <c r="H2" s="14" t="s">
        <v>1</v>
      </c>
    </row>
    <row r="3" spans="1:14">
      <c r="A3" s="1"/>
      <c r="B3" s="1"/>
      <c r="C3" s="1"/>
      <c r="D3" s="1"/>
      <c r="E3" s="1"/>
      <c r="F3" s="1"/>
      <c r="G3" s="1"/>
      <c r="H3" s="1"/>
    </row>
    <row r="4" spans="1:14" s="20" customFormat="1">
      <c r="A4" s="22" t="s">
        <v>2</v>
      </c>
      <c r="B4" s="22" t="s">
        <v>3</v>
      </c>
      <c r="C4" s="22" t="s">
        <v>4</v>
      </c>
      <c r="D4" s="22" t="s">
        <v>5</v>
      </c>
      <c r="E4" s="24"/>
      <c r="H4" s="24"/>
    </row>
    <row r="5" spans="1:14">
      <c r="A5" s="3" t="s">
        <v>8</v>
      </c>
      <c r="B5" s="4">
        <f>'Setup Budget'!B16</f>
        <v>1461.9</v>
      </c>
      <c r="C5" s="4">
        <f>'Setup Budget'!C16</f>
        <v>4685.1000000000004</v>
      </c>
      <c r="D5" s="4">
        <f>'Setup Budget'!D16</f>
        <v>11770.8</v>
      </c>
      <c r="E5" s="1"/>
      <c r="H5" s="1"/>
    </row>
    <row r="6" spans="1:14">
      <c r="A6" s="3" t="s">
        <v>11</v>
      </c>
      <c r="B6" s="4">
        <f>'Monthly Opex'!B20</f>
        <v>305</v>
      </c>
      <c r="C6" s="4">
        <f>'Monthly Opex'!C20</f>
        <v>1097</v>
      </c>
      <c r="D6" s="4">
        <f>'Monthly Opex'!D20</f>
        <v>2841</v>
      </c>
      <c r="E6" s="1"/>
      <c r="H6" s="1"/>
    </row>
    <row r="7" spans="1:14">
      <c r="A7" s="3" t="s">
        <v>14</v>
      </c>
      <c r="B7" s="4">
        <f>B5+B6*3</f>
        <v>2376.9</v>
      </c>
      <c r="C7" s="4">
        <f>C5+C6*3</f>
        <v>7976.1</v>
      </c>
      <c r="D7" s="4">
        <f>D5+D6*3</f>
        <v>20293.8</v>
      </c>
      <c r="E7" s="1"/>
      <c r="H7" s="1"/>
    </row>
    <row r="8" spans="1:14">
      <c r="A8" s="3" t="s">
        <v>17</v>
      </c>
      <c r="B8" s="4">
        <f>B5+B6*6</f>
        <v>3291.9</v>
      </c>
      <c r="C8" s="4">
        <f>C5+C6*6</f>
        <v>11267.1</v>
      </c>
      <c r="D8" s="4">
        <f>D5+D6*6</f>
        <v>28816.799999999999</v>
      </c>
      <c r="E8" s="1"/>
      <c r="H8" s="1"/>
    </row>
    <row r="9" spans="1:14">
      <c r="A9" s="3" t="s">
        <v>20</v>
      </c>
      <c r="B9" s="4">
        <f>B5+B6*12</f>
        <v>5121.8999999999996</v>
      </c>
      <c r="C9" s="4">
        <f>C5+C6*12</f>
        <v>17849.099999999999</v>
      </c>
      <c r="D9" s="4">
        <f>D5+D6*12</f>
        <v>45862.8</v>
      </c>
      <c r="E9" s="1"/>
      <c r="H9" s="1"/>
    </row>
    <row r="10" spans="1:14">
      <c r="A10" s="3" t="s">
        <v>23</v>
      </c>
      <c r="B10" s="5" t="str">
        <f>Assumptions!B5</f>
        <v>Recommended</v>
      </c>
      <c r="C10" s="5"/>
      <c r="D10" s="5"/>
      <c r="E10" s="1"/>
      <c r="H10" s="1"/>
    </row>
    <row r="11" spans="1:14">
      <c r="A11" s="3" t="s">
        <v>26</v>
      </c>
      <c r="B11" s="5" t="str">
        <f>Checks!E9</f>
        <v>OK</v>
      </c>
      <c r="C11" s="5"/>
      <c r="D11" s="5"/>
      <c r="E11" s="1"/>
      <c r="H11" s="1"/>
    </row>
    <row r="12" spans="1:14">
      <c r="A12" s="1"/>
      <c r="B12" s="1"/>
      <c r="C12" s="1"/>
      <c r="D12" s="1"/>
      <c r="E12" s="1"/>
      <c r="H12" s="1"/>
    </row>
    <row r="14" spans="1:14" s="20" customFormat="1">
      <c r="A14" s="22" t="s">
        <v>6</v>
      </c>
      <c r="B14" s="23" t="s">
        <v>7</v>
      </c>
    </row>
    <row r="15" spans="1:14">
      <c r="A15" s="3" t="s">
        <v>9</v>
      </c>
      <c r="B15" s="21" t="s">
        <v>10</v>
      </c>
    </row>
    <row r="16" spans="1:14">
      <c r="A16" s="3" t="s">
        <v>12</v>
      </c>
      <c r="B16" s="21" t="s">
        <v>13</v>
      </c>
    </row>
    <row r="17" spans="1:2">
      <c r="A17" s="3" t="s">
        <v>15</v>
      </c>
      <c r="B17" s="21" t="s">
        <v>16</v>
      </c>
    </row>
    <row r="18" spans="1:2">
      <c r="A18" s="3" t="s">
        <v>18</v>
      </c>
      <c r="B18" s="21" t="s">
        <v>19</v>
      </c>
    </row>
    <row r="19" spans="1:2">
      <c r="A19" s="3" t="s">
        <v>21</v>
      </c>
      <c r="B19" s="21" t="s">
        <v>22</v>
      </c>
    </row>
    <row r="20" spans="1:2">
      <c r="A20" s="3" t="s">
        <v>24</v>
      </c>
      <c r="B20" s="21" t="s">
        <v>25</v>
      </c>
    </row>
    <row r="21" spans="1:2">
      <c r="A21" s="3" t="s">
        <v>27</v>
      </c>
      <c r="B21" s="21" t="s">
        <v>28</v>
      </c>
    </row>
    <row r="22" spans="1:2">
      <c r="A22" s="3" t="s">
        <v>29</v>
      </c>
      <c r="B22" s="21" t="s">
        <v>30</v>
      </c>
    </row>
  </sheetData>
  <mergeCells count="2">
    <mergeCell ref="A1:G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showGridLines="0" topLeftCell="A7" workbookViewId="0">
      <selection activeCell="I19" sqref="I19"/>
    </sheetView>
  </sheetViews>
  <sheetFormatPr defaultRowHeight="14.25"/>
  <cols>
    <col min="1" max="1" width="30.625" bestFit="1" customWidth="1"/>
    <col min="2" max="4" width="8.125" customWidth="1"/>
    <col min="5" max="5" width="12.75" bestFit="1" customWidth="1"/>
    <col min="6" max="6" width="64.125" customWidth="1"/>
    <col min="8" max="8" width="17.125" customWidth="1"/>
    <col min="9" max="9" width="5.75" bestFit="1" customWidth="1"/>
    <col min="10" max="10" width="8.875" customWidth="1"/>
    <col min="12" max="12" width="8.875" bestFit="1" customWidth="1"/>
    <col min="13" max="13" width="34.625" customWidth="1"/>
  </cols>
  <sheetData>
    <row r="1" spans="1:14" ht="23.25">
      <c r="A1" s="12" t="s">
        <v>31</v>
      </c>
      <c r="B1" s="12" t="s">
        <v>31</v>
      </c>
      <c r="C1" s="12" t="s">
        <v>31</v>
      </c>
      <c r="D1" s="12" t="s">
        <v>31</v>
      </c>
      <c r="E1" s="12" t="s">
        <v>31</v>
      </c>
      <c r="F1" s="12" t="s">
        <v>31</v>
      </c>
      <c r="G1" s="6"/>
      <c r="H1" s="6"/>
      <c r="I1" s="6"/>
      <c r="J1" s="6"/>
      <c r="K1" s="6"/>
      <c r="L1" s="6"/>
      <c r="M1" s="6"/>
      <c r="N1" s="6"/>
    </row>
    <row r="2" spans="1:14">
      <c r="A2" s="14" t="s">
        <v>32</v>
      </c>
      <c r="B2" s="14" t="s">
        <v>32</v>
      </c>
      <c r="C2" s="14" t="s">
        <v>32</v>
      </c>
      <c r="D2" s="14" t="s">
        <v>32</v>
      </c>
      <c r="E2" s="14" t="s">
        <v>32</v>
      </c>
      <c r="F2" s="14" t="s">
        <v>32</v>
      </c>
      <c r="G2" s="14" t="s">
        <v>32</v>
      </c>
      <c r="H2" s="14" t="s">
        <v>32</v>
      </c>
      <c r="I2" s="1"/>
      <c r="J2" s="1"/>
      <c r="K2" s="1"/>
      <c r="L2" s="1"/>
      <c r="M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>
      <c r="A4" s="15" t="s">
        <v>33</v>
      </c>
      <c r="B4" s="15" t="s">
        <v>33</v>
      </c>
      <c r="C4" s="15" t="s">
        <v>33</v>
      </c>
      <c r="D4" s="15" t="s">
        <v>33</v>
      </c>
      <c r="E4" s="15" t="s">
        <v>33</v>
      </c>
      <c r="F4" s="15" t="s">
        <v>33</v>
      </c>
      <c r="G4" s="1"/>
    </row>
    <row r="5" spans="1:14" ht="25.5">
      <c r="A5" s="3" t="s">
        <v>35</v>
      </c>
      <c r="B5" s="7" t="s">
        <v>4</v>
      </c>
      <c r="C5" s="3"/>
      <c r="D5" s="3" t="s">
        <v>36</v>
      </c>
      <c r="E5" s="7" t="s">
        <v>37</v>
      </c>
      <c r="F5" s="3"/>
      <c r="G5" s="1"/>
    </row>
    <row r="6" spans="1:14">
      <c r="A6" s="1"/>
      <c r="B6" s="1"/>
      <c r="C6" s="1"/>
      <c r="D6" s="1"/>
      <c r="E6" s="1"/>
      <c r="F6" s="1"/>
      <c r="G6" s="1"/>
    </row>
    <row r="7" spans="1:14">
      <c r="A7" s="1"/>
      <c r="B7" s="1"/>
      <c r="C7" s="1"/>
      <c r="D7" s="1"/>
      <c r="E7" s="1"/>
      <c r="F7" s="1"/>
      <c r="G7" s="1"/>
    </row>
    <row r="8" spans="1:14">
      <c r="A8" s="15" t="s">
        <v>46</v>
      </c>
      <c r="B8" s="15" t="s">
        <v>46</v>
      </c>
      <c r="C8" s="15" t="s">
        <v>46</v>
      </c>
      <c r="D8" s="15" t="s">
        <v>46</v>
      </c>
      <c r="E8" s="15" t="s">
        <v>46</v>
      </c>
      <c r="F8" s="15" t="s">
        <v>46</v>
      </c>
      <c r="G8" s="1"/>
    </row>
    <row r="9" spans="1:14" ht="25.5">
      <c r="A9" s="2" t="s">
        <v>38</v>
      </c>
      <c r="B9" s="2" t="s">
        <v>3</v>
      </c>
      <c r="C9" s="2" t="s">
        <v>4</v>
      </c>
      <c r="D9" s="2" t="s">
        <v>5</v>
      </c>
      <c r="E9" s="2" t="s">
        <v>49</v>
      </c>
      <c r="F9" s="2" t="s">
        <v>40</v>
      </c>
      <c r="G9" s="1"/>
    </row>
    <row r="10" spans="1:14">
      <c r="A10" s="3" t="s">
        <v>52</v>
      </c>
      <c r="B10" s="8">
        <v>12</v>
      </c>
      <c r="C10" s="8">
        <v>15</v>
      </c>
      <c r="D10" s="8">
        <v>25</v>
      </c>
      <c r="E10" s="3" t="s">
        <v>53</v>
      </c>
      <c r="F10" s="3" t="s">
        <v>54</v>
      </c>
      <c r="G10" s="1"/>
    </row>
    <row r="11" spans="1:14">
      <c r="A11" s="3" t="s">
        <v>57</v>
      </c>
      <c r="B11" s="8">
        <v>12</v>
      </c>
      <c r="C11" s="8">
        <v>84</v>
      </c>
      <c r="D11" s="8">
        <v>84</v>
      </c>
      <c r="E11" s="3" t="s">
        <v>58</v>
      </c>
      <c r="F11" s="3" t="s">
        <v>59</v>
      </c>
      <c r="G11" s="1"/>
    </row>
    <row r="12" spans="1:14">
      <c r="A12" s="3" t="s">
        <v>63</v>
      </c>
      <c r="B12" s="8">
        <v>300</v>
      </c>
      <c r="C12" s="8">
        <v>1000</v>
      </c>
      <c r="D12" s="8">
        <v>2500</v>
      </c>
      <c r="E12" s="3" t="s">
        <v>53</v>
      </c>
      <c r="F12" s="3" t="s">
        <v>64</v>
      </c>
      <c r="G12" s="1"/>
    </row>
    <row r="13" spans="1:14">
      <c r="A13" s="3" t="s">
        <v>68</v>
      </c>
      <c r="B13" s="8">
        <v>150</v>
      </c>
      <c r="C13" s="8">
        <v>300</v>
      </c>
      <c r="D13" s="8">
        <v>700</v>
      </c>
      <c r="E13" s="3" t="s">
        <v>53</v>
      </c>
      <c r="F13" s="3" t="s">
        <v>69</v>
      </c>
      <c r="G13" s="1"/>
    </row>
    <row r="14" spans="1:14">
      <c r="A14" s="3" t="s">
        <v>73</v>
      </c>
      <c r="B14" s="8">
        <v>50</v>
      </c>
      <c r="C14" s="8">
        <v>250</v>
      </c>
      <c r="D14" s="8">
        <v>750</v>
      </c>
      <c r="E14" s="3" t="s">
        <v>53</v>
      </c>
      <c r="F14" s="3" t="s">
        <v>74</v>
      </c>
      <c r="G14" s="1"/>
    </row>
    <row r="15" spans="1:14">
      <c r="A15" s="3" t="s">
        <v>77</v>
      </c>
      <c r="B15" s="8">
        <v>500</v>
      </c>
      <c r="C15" s="8">
        <v>1500</v>
      </c>
      <c r="D15" s="8">
        <v>3500</v>
      </c>
      <c r="E15" s="3" t="s">
        <v>53</v>
      </c>
      <c r="F15" s="3" t="s">
        <v>78</v>
      </c>
      <c r="G15" s="1"/>
    </row>
    <row r="16" spans="1:14">
      <c r="A16" s="3" t="s">
        <v>82</v>
      </c>
      <c r="B16" s="8">
        <v>75</v>
      </c>
      <c r="C16" s="8">
        <v>250</v>
      </c>
      <c r="D16" s="8">
        <v>600</v>
      </c>
      <c r="E16" s="3" t="s">
        <v>53</v>
      </c>
      <c r="F16" s="3" t="s">
        <v>83</v>
      </c>
      <c r="G16" s="1"/>
    </row>
    <row r="17" spans="1:7">
      <c r="A17" s="3" t="s">
        <v>86</v>
      </c>
      <c r="B17" s="8">
        <v>200</v>
      </c>
      <c r="C17" s="8">
        <v>600</v>
      </c>
      <c r="D17" s="8">
        <v>1500</v>
      </c>
      <c r="E17" s="3" t="s">
        <v>53</v>
      </c>
      <c r="F17" s="3" t="s">
        <v>87</v>
      </c>
      <c r="G17" s="1"/>
    </row>
    <row r="18" spans="1:7">
      <c r="A18" s="3" t="s">
        <v>90</v>
      </c>
      <c r="B18" s="8">
        <v>30</v>
      </c>
      <c r="C18" s="8">
        <v>75</v>
      </c>
      <c r="D18" s="8">
        <v>150</v>
      </c>
      <c r="E18" s="3" t="s">
        <v>53</v>
      </c>
      <c r="F18" s="3" t="s">
        <v>91</v>
      </c>
      <c r="G18" s="1"/>
    </row>
    <row r="19" spans="1:7">
      <c r="A19" s="3" t="s">
        <v>95</v>
      </c>
      <c r="B19" s="9">
        <v>0.1</v>
      </c>
      <c r="C19" s="9">
        <v>0.15</v>
      </c>
      <c r="D19" s="9">
        <v>0.2</v>
      </c>
      <c r="E19" s="3" t="s">
        <v>96</v>
      </c>
      <c r="F19" s="3" t="s">
        <v>97</v>
      </c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5" t="s">
        <v>34</v>
      </c>
      <c r="B22" s="15" t="s">
        <v>34</v>
      </c>
      <c r="C22" s="15" t="s">
        <v>34</v>
      </c>
      <c r="D22" s="15" t="s">
        <v>34</v>
      </c>
      <c r="E22" s="15" t="s">
        <v>34</v>
      </c>
      <c r="F22" s="15" t="s">
        <v>34</v>
      </c>
      <c r="G22" s="1"/>
    </row>
    <row r="23" spans="1:7" ht="25.5">
      <c r="A23" s="2" t="s">
        <v>38</v>
      </c>
      <c r="B23" s="2" t="s">
        <v>3</v>
      </c>
      <c r="C23" s="2" t="s">
        <v>4</v>
      </c>
      <c r="D23" s="2" t="s">
        <v>5</v>
      </c>
      <c r="E23" s="2" t="s">
        <v>39</v>
      </c>
      <c r="F23" s="2" t="s">
        <v>40</v>
      </c>
      <c r="G23" s="1"/>
    </row>
    <row r="24" spans="1:7">
      <c r="A24" s="3" t="s">
        <v>41</v>
      </c>
      <c r="B24" s="8">
        <v>0</v>
      </c>
      <c r="C24" s="8">
        <v>20</v>
      </c>
      <c r="D24" s="8">
        <v>20</v>
      </c>
      <c r="E24" s="3" t="s">
        <v>42</v>
      </c>
      <c r="F24" s="3" t="s">
        <v>43</v>
      </c>
      <c r="G24" s="1"/>
    </row>
    <row r="25" spans="1:7">
      <c r="A25" s="3" t="s">
        <v>44</v>
      </c>
      <c r="B25" s="8">
        <v>0</v>
      </c>
      <c r="C25" s="8">
        <v>25</v>
      </c>
      <c r="D25" s="8">
        <v>25</v>
      </c>
      <c r="E25" s="3" t="s">
        <v>42</v>
      </c>
      <c r="F25" s="3" t="s">
        <v>45</v>
      </c>
      <c r="G25" s="1"/>
    </row>
    <row r="26" spans="1:7">
      <c r="A26" s="3" t="s">
        <v>47</v>
      </c>
      <c r="B26" s="8">
        <v>3</v>
      </c>
      <c r="C26" s="8">
        <v>8</v>
      </c>
      <c r="D26" s="8">
        <v>20</v>
      </c>
      <c r="E26" s="3" t="s">
        <v>42</v>
      </c>
      <c r="F26" s="3" t="s">
        <v>48</v>
      </c>
      <c r="G26" s="1"/>
    </row>
    <row r="27" spans="1:7">
      <c r="A27" s="3" t="s">
        <v>50</v>
      </c>
      <c r="B27" s="8">
        <v>0</v>
      </c>
      <c r="C27" s="8">
        <v>20</v>
      </c>
      <c r="D27" s="8">
        <v>20</v>
      </c>
      <c r="E27" s="3" t="s">
        <v>24</v>
      </c>
      <c r="F27" s="3" t="s">
        <v>51</v>
      </c>
      <c r="G27" s="1"/>
    </row>
    <row r="28" spans="1:7">
      <c r="A28" s="3" t="s">
        <v>55</v>
      </c>
      <c r="B28" s="8">
        <v>1</v>
      </c>
      <c r="C28" s="8">
        <v>7</v>
      </c>
      <c r="D28" s="8">
        <v>7</v>
      </c>
      <c r="E28" s="3" t="s">
        <v>24</v>
      </c>
      <c r="F28" s="3" t="s">
        <v>56</v>
      </c>
      <c r="G28" s="1"/>
    </row>
    <row r="29" spans="1:7">
      <c r="A29" s="3" t="s">
        <v>60</v>
      </c>
      <c r="B29" s="8">
        <v>20</v>
      </c>
      <c r="C29" s="8">
        <v>40</v>
      </c>
      <c r="D29" s="8">
        <v>80</v>
      </c>
      <c r="E29" s="3" t="s">
        <v>61</v>
      </c>
      <c r="F29" s="3" t="s">
        <v>62</v>
      </c>
      <c r="G29" s="1"/>
    </row>
    <row r="30" spans="1:7">
      <c r="A30" s="3" t="s">
        <v>65</v>
      </c>
      <c r="B30" s="8">
        <v>6</v>
      </c>
      <c r="C30" s="8">
        <v>22</v>
      </c>
      <c r="D30" s="8">
        <v>99</v>
      </c>
      <c r="E30" s="3" t="s">
        <v>66</v>
      </c>
      <c r="F30" s="3" t="s">
        <v>67</v>
      </c>
    </row>
    <row r="31" spans="1:7">
      <c r="A31" s="3" t="s">
        <v>70</v>
      </c>
      <c r="B31" s="8">
        <v>0</v>
      </c>
      <c r="C31" s="8">
        <v>15</v>
      </c>
      <c r="D31" s="8">
        <v>20</v>
      </c>
      <c r="E31" s="3" t="s">
        <v>71</v>
      </c>
      <c r="F31" s="3" t="s">
        <v>72</v>
      </c>
    </row>
    <row r="32" spans="1:7">
      <c r="A32" s="3" t="s">
        <v>75</v>
      </c>
      <c r="B32" s="8">
        <v>0</v>
      </c>
      <c r="C32" s="8">
        <v>0</v>
      </c>
      <c r="D32" s="8">
        <v>20</v>
      </c>
      <c r="E32" s="3" t="s">
        <v>42</v>
      </c>
      <c r="F32" s="3" t="s">
        <v>76</v>
      </c>
    </row>
    <row r="33" spans="1:6">
      <c r="A33" s="3" t="s">
        <v>79</v>
      </c>
      <c r="B33" s="8">
        <v>0</v>
      </c>
      <c r="C33" s="8">
        <v>15</v>
      </c>
      <c r="D33" s="8">
        <v>30</v>
      </c>
      <c r="E33" s="3" t="s">
        <v>80</v>
      </c>
      <c r="F33" s="3" t="s">
        <v>81</v>
      </c>
    </row>
    <row r="34" spans="1:6">
      <c r="A34" s="3" t="s">
        <v>84</v>
      </c>
      <c r="B34" s="8">
        <v>50</v>
      </c>
      <c r="C34" s="8">
        <v>150</v>
      </c>
      <c r="D34" s="8">
        <v>300</v>
      </c>
      <c r="E34" s="3" t="s">
        <v>80</v>
      </c>
      <c r="F34" s="3" t="s">
        <v>85</v>
      </c>
    </row>
    <row r="35" spans="1:6">
      <c r="A35" s="3" t="s">
        <v>88</v>
      </c>
      <c r="B35" s="8">
        <v>0</v>
      </c>
      <c r="C35" s="8">
        <v>50</v>
      </c>
      <c r="D35" s="8">
        <v>150</v>
      </c>
      <c r="E35" s="3" t="s">
        <v>80</v>
      </c>
      <c r="F35" s="3" t="s">
        <v>89</v>
      </c>
    </row>
    <row r="36" spans="1:6">
      <c r="A36" s="3" t="s">
        <v>92</v>
      </c>
      <c r="B36" s="8">
        <v>150</v>
      </c>
      <c r="C36" s="8">
        <v>500</v>
      </c>
      <c r="D36" s="8">
        <v>1500</v>
      </c>
      <c r="E36" s="3" t="s">
        <v>93</v>
      </c>
      <c r="F36" s="3" t="s">
        <v>94</v>
      </c>
    </row>
    <row r="37" spans="1:6">
      <c r="A37" s="3" t="s">
        <v>98</v>
      </c>
      <c r="B37" s="8">
        <v>50</v>
      </c>
      <c r="C37" s="8">
        <v>150</v>
      </c>
      <c r="D37" s="8">
        <v>400</v>
      </c>
      <c r="E37" s="3" t="s">
        <v>93</v>
      </c>
      <c r="F37" s="3" t="s">
        <v>99</v>
      </c>
    </row>
    <row r="38" spans="1:6">
      <c r="A38" s="3" t="s">
        <v>100</v>
      </c>
      <c r="B38" s="8">
        <v>25</v>
      </c>
      <c r="C38" s="8">
        <v>75</v>
      </c>
      <c r="D38" s="8">
        <v>150</v>
      </c>
      <c r="E38" s="3" t="s">
        <v>80</v>
      </c>
      <c r="F38" s="3" t="s">
        <v>101</v>
      </c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5" t="s">
        <v>102</v>
      </c>
      <c r="B41" s="15" t="s">
        <v>102</v>
      </c>
      <c r="C41" s="15" t="s">
        <v>102</v>
      </c>
      <c r="D41" s="15" t="s">
        <v>102</v>
      </c>
      <c r="E41" s="15" t="s">
        <v>102</v>
      </c>
      <c r="F41" s="15" t="s">
        <v>102</v>
      </c>
    </row>
    <row r="42" spans="1:6" ht="25.5">
      <c r="A42" s="2" t="s">
        <v>103</v>
      </c>
      <c r="B42" s="2" t="s">
        <v>3</v>
      </c>
      <c r="C42" s="2" t="s">
        <v>4</v>
      </c>
      <c r="D42" s="2" t="s">
        <v>5</v>
      </c>
      <c r="E42" s="2" t="s">
        <v>104</v>
      </c>
      <c r="F42" s="2" t="s">
        <v>40</v>
      </c>
    </row>
    <row r="43" spans="1:6">
      <c r="A43" s="3" t="s">
        <v>105</v>
      </c>
      <c r="B43" s="8">
        <v>3000</v>
      </c>
      <c r="C43" s="8">
        <v>8000</v>
      </c>
      <c r="D43" s="8">
        <v>20000</v>
      </c>
      <c r="E43" s="3" t="s">
        <v>106</v>
      </c>
      <c r="F43" s="3" t="s">
        <v>107</v>
      </c>
    </row>
    <row r="44" spans="1:6">
      <c r="A44" s="3" t="s">
        <v>108</v>
      </c>
      <c r="B44" s="8">
        <v>2</v>
      </c>
      <c r="C44" s="8">
        <v>3</v>
      </c>
      <c r="D44" s="8">
        <v>4</v>
      </c>
      <c r="E44" s="3" t="s">
        <v>109</v>
      </c>
      <c r="F44" s="3" t="s">
        <v>110</v>
      </c>
    </row>
    <row r="45" spans="1:6">
      <c r="A45" s="3" t="s">
        <v>111</v>
      </c>
      <c r="B45" s="8">
        <v>2.99</v>
      </c>
      <c r="C45" s="8">
        <v>3.99</v>
      </c>
      <c r="D45" s="8">
        <v>4.99</v>
      </c>
      <c r="E45" s="3" t="s">
        <v>106</v>
      </c>
      <c r="F45" s="3" t="s">
        <v>112</v>
      </c>
    </row>
    <row r="46" spans="1:6">
      <c r="A46" s="3" t="s">
        <v>113</v>
      </c>
      <c r="B46" s="9">
        <v>0.65</v>
      </c>
      <c r="C46" s="9">
        <v>0.6</v>
      </c>
      <c r="D46" s="9">
        <v>0.55000000000000004</v>
      </c>
      <c r="E46" s="3" t="s">
        <v>96</v>
      </c>
      <c r="F46" s="3" t="s">
        <v>114</v>
      </c>
    </row>
    <row r="47" spans="1:6">
      <c r="A47" s="3" t="s">
        <v>115</v>
      </c>
      <c r="B47" s="9">
        <v>3.5000000000000003E-2</v>
      </c>
      <c r="C47" s="9">
        <v>3.5000000000000003E-2</v>
      </c>
      <c r="D47" s="9">
        <v>3.2000000000000001E-2</v>
      </c>
      <c r="E47" s="3" t="s">
        <v>96</v>
      </c>
      <c r="F47" s="3" t="s">
        <v>116</v>
      </c>
    </row>
  </sheetData>
  <mergeCells count="6">
    <mergeCell ref="A41:F41"/>
    <mergeCell ref="A1:F1"/>
    <mergeCell ref="A2:H2"/>
    <mergeCell ref="A4:F4"/>
    <mergeCell ref="A8:F8"/>
    <mergeCell ref="A22:F22"/>
  </mergeCells>
  <dataValidations count="1">
    <dataValidation type="list" sqref="B5" xr:uid="{00000000-0002-0000-0100-000000000000}">
      <formula1>"Lean,Recommended,Safer Launch"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showGridLines="0" workbookViewId="0">
      <selection activeCell="A26" sqref="A26"/>
    </sheetView>
  </sheetViews>
  <sheetFormatPr defaultRowHeight="14.25"/>
  <cols>
    <col min="1" max="1" width="33" customWidth="1"/>
    <col min="2" max="5" width="15.5" customWidth="1"/>
    <col min="6" max="6" width="43.75" customWidth="1"/>
  </cols>
  <sheetData>
    <row r="1" spans="1:14" ht="25.5" customHeight="1">
      <c r="A1" s="12" t="s">
        <v>117</v>
      </c>
      <c r="B1" s="12" t="s">
        <v>117</v>
      </c>
      <c r="C1" s="12" t="s">
        <v>117</v>
      </c>
      <c r="D1" s="12" t="s">
        <v>117</v>
      </c>
      <c r="E1" s="12" t="s">
        <v>117</v>
      </c>
      <c r="F1" s="12" t="s">
        <v>117</v>
      </c>
      <c r="G1" s="6"/>
      <c r="H1" s="6"/>
      <c r="I1" s="6"/>
      <c r="J1" s="6"/>
      <c r="K1" s="6"/>
      <c r="L1" s="6"/>
      <c r="M1" s="6"/>
      <c r="N1" s="6"/>
    </row>
    <row r="2" spans="1:14" s="20" customFormat="1">
      <c r="A2" s="14" t="s">
        <v>118</v>
      </c>
      <c r="B2" s="14" t="s">
        <v>118</v>
      </c>
      <c r="C2" s="14" t="s">
        <v>118</v>
      </c>
      <c r="D2" s="14" t="s">
        <v>118</v>
      </c>
      <c r="E2" s="14" t="s">
        <v>118</v>
      </c>
      <c r="F2" s="14" t="s">
        <v>118</v>
      </c>
      <c r="G2" s="14" t="s">
        <v>118</v>
      </c>
      <c r="H2" s="14" t="s">
        <v>118</v>
      </c>
    </row>
    <row r="3" spans="1:14">
      <c r="A3" s="1"/>
      <c r="B3" s="1"/>
      <c r="C3" s="1"/>
      <c r="D3" s="1"/>
      <c r="E3" s="1"/>
      <c r="F3" s="1"/>
      <c r="G3" s="1"/>
      <c r="H3" s="1"/>
    </row>
    <row r="4" spans="1:14" s="20" customFormat="1">
      <c r="A4" s="22" t="s">
        <v>119</v>
      </c>
      <c r="B4" s="22" t="s">
        <v>3</v>
      </c>
      <c r="C4" s="22" t="s">
        <v>4</v>
      </c>
      <c r="D4" s="22" t="s">
        <v>5</v>
      </c>
      <c r="E4" s="22" t="s">
        <v>120</v>
      </c>
      <c r="F4" s="22" t="s">
        <v>40</v>
      </c>
      <c r="G4" s="24"/>
      <c r="H4" s="24"/>
    </row>
    <row r="5" spans="1:14">
      <c r="A5" s="3" t="str">
        <f>Assumptions!A10</f>
        <v>Domain registration / transfer</v>
      </c>
      <c r="B5" s="4">
        <f>Assumptions!B10</f>
        <v>12</v>
      </c>
      <c r="C5" s="4">
        <f>Assumptions!C10</f>
        <v>15</v>
      </c>
      <c r="D5" s="4">
        <f>Assumptions!D10</f>
        <v>25</v>
      </c>
      <c r="E5" s="4">
        <f>INDEX(B5:D5,1,MATCH(Assumptions!$B$5,$B$4:$D$4,0))</f>
        <v>15</v>
      </c>
      <c r="F5" s="3" t="str">
        <f>Assumptions!F10</f>
        <v>.com or similar; renewal may vary</v>
      </c>
      <c r="G5" s="1"/>
      <c r="H5" s="1"/>
    </row>
    <row r="6" spans="1:14">
      <c r="A6" s="3" t="str">
        <f>Assumptions!A11</f>
        <v>Business email setup</v>
      </c>
      <c r="B6" s="4">
        <f>Assumptions!B11</f>
        <v>12</v>
      </c>
      <c r="C6" s="4">
        <f>Assumptions!C11</f>
        <v>84</v>
      </c>
      <c r="D6" s="4">
        <f>Assumptions!D11</f>
        <v>84</v>
      </c>
      <c r="E6" s="4">
        <f>INDEX(B6:D6,1,MATCH(Assumptions!$B$5,$B$4:$D$4,0))</f>
        <v>84</v>
      </c>
      <c r="F6" s="3" t="str">
        <f>Assumptions!F11</f>
        <v>Zoho low-cost or Google Workspace first year</v>
      </c>
      <c r="G6" s="1"/>
      <c r="H6" s="1"/>
    </row>
    <row r="7" spans="1:14">
      <c r="A7" s="3" t="str">
        <f>Assumptions!A12</f>
        <v>Legal policy review / templates</v>
      </c>
      <c r="B7" s="4">
        <f>Assumptions!B12</f>
        <v>300</v>
      </c>
      <c r="C7" s="4">
        <f>Assumptions!C12</f>
        <v>1000</v>
      </c>
      <c r="D7" s="4">
        <f>Assumptions!D12</f>
        <v>2500</v>
      </c>
      <c r="E7" s="4">
        <f>INDEX(B7:D7,1,MATCH(Assumptions!$B$5,$B$4:$D$4,0))</f>
        <v>1000</v>
      </c>
      <c r="F7" s="3" t="str">
        <f>Assumptions!F12</f>
        <v>Privacy, terms, creator terms, copyright/takedown</v>
      </c>
      <c r="G7" s="1"/>
      <c r="H7" s="1"/>
    </row>
    <row r="8" spans="1:14">
      <c r="A8" s="3" t="str">
        <f>Assumptions!A13</f>
        <v>Business registration / accounting setup</v>
      </c>
      <c r="B8" s="4">
        <f>Assumptions!B13</f>
        <v>150</v>
      </c>
      <c r="C8" s="4">
        <f>Assumptions!C13</f>
        <v>300</v>
      </c>
      <c r="D8" s="4">
        <f>Assumptions!D13</f>
        <v>700</v>
      </c>
      <c r="E8" s="4">
        <f>INDEX(B8:D8,1,MATCH(Assumptions!$B$5,$B$4:$D$4,0))</f>
        <v>300</v>
      </c>
      <c r="F8" s="3" t="str">
        <f>Assumptions!F13</f>
        <v>Entity, bookkeeping, tax setup</v>
      </c>
      <c r="G8" s="1"/>
      <c r="H8" s="1"/>
    </row>
    <row r="9" spans="1:14">
      <c r="A9" s="3" t="str">
        <f>Assumptions!A14</f>
        <v>Branding / landing assets</v>
      </c>
      <c r="B9" s="4">
        <f>Assumptions!B14</f>
        <v>50</v>
      </c>
      <c r="C9" s="4">
        <f>Assumptions!C14</f>
        <v>250</v>
      </c>
      <c r="D9" s="4">
        <f>Assumptions!D14</f>
        <v>750</v>
      </c>
      <c r="E9" s="4">
        <f>INDEX(B9:D9,1,MATCH(Assumptions!$B$5,$B$4:$D$4,0))</f>
        <v>250</v>
      </c>
      <c r="F9" s="3" t="str">
        <f>Assumptions!F14</f>
        <v>Logo polish, screenshots, social graphics</v>
      </c>
      <c r="G9" s="1"/>
      <c r="H9" s="1"/>
    </row>
    <row r="10" spans="1:14">
      <c r="A10" s="3" t="str">
        <f>Assumptions!A15</f>
        <v>Launch catalog production</v>
      </c>
      <c r="B10" s="4">
        <f>Assumptions!B15</f>
        <v>500</v>
      </c>
      <c r="C10" s="4">
        <f>Assumptions!C15</f>
        <v>1500</v>
      </c>
      <c r="D10" s="4">
        <f>Assumptions!D15</f>
        <v>3500</v>
      </c>
      <c r="E10" s="4">
        <f>INDEX(B10:D10,1,MATCH(Assumptions!$B$5,$B$4:$D$4,0))</f>
        <v>1500</v>
      </c>
      <c r="F10" s="3" t="str">
        <f>Assumptions!F15</f>
        <v>10 flagship stories, covers, audio passes, QA</v>
      </c>
      <c r="G10" s="1"/>
      <c r="H10" s="1"/>
    </row>
    <row r="11" spans="1:14">
      <c r="A11" s="3" t="str">
        <f>Assumptions!A16</f>
        <v>Initial audio/music/SFX library</v>
      </c>
      <c r="B11" s="4">
        <f>Assumptions!B16</f>
        <v>75</v>
      </c>
      <c r="C11" s="4">
        <f>Assumptions!C16</f>
        <v>250</v>
      </c>
      <c r="D11" s="4">
        <f>Assumptions!D16</f>
        <v>600</v>
      </c>
      <c r="E11" s="4">
        <f>INDEX(B11:D11,1,MATCH(Assumptions!$B$5,$B$4:$D$4,0))</f>
        <v>250</v>
      </c>
      <c r="F11" s="3" t="str">
        <f>Assumptions!F16</f>
        <v>Licensed music, SFX, premium voice credits</v>
      </c>
      <c r="G11" s="1"/>
      <c r="H11" s="1"/>
    </row>
    <row r="12" spans="1:14">
      <c r="A12" s="3" t="str">
        <f>Assumptions!A17</f>
        <v>Compliance / child-safety review buffer</v>
      </c>
      <c r="B12" s="4">
        <f>Assumptions!B17</f>
        <v>200</v>
      </c>
      <c r="C12" s="4">
        <f>Assumptions!C17</f>
        <v>600</v>
      </c>
      <c r="D12" s="4">
        <f>Assumptions!D17</f>
        <v>1500</v>
      </c>
      <c r="E12" s="4">
        <f>INDEX(B12:D12,1,MATCH(Assumptions!$B$5,$B$4:$D$4,0))</f>
        <v>600</v>
      </c>
      <c r="F12" s="3" t="str">
        <f>Assumptions!F17</f>
        <v>Extra review before family/children marketing</v>
      </c>
      <c r="G12" s="1"/>
      <c r="H12" s="1"/>
    </row>
    <row r="13" spans="1:14">
      <c r="A13" s="3" t="str">
        <f>Assumptions!A18</f>
        <v>Payment test budget</v>
      </c>
      <c r="B13" s="4">
        <f>Assumptions!B18</f>
        <v>30</v>
      </c>
      <c r="C13" s="4">
        <f>Assumptions!C18</f>
        <v>75</v>
      </c>
      <c r="D13" s="4">
        <f>Assumptions!D18</f>
        <v>150</v>
      </c>
      <c r="E13" s="4">
        <f>INDEX(B13:D13,1,MATCH(Assumptions!$B$5,$B$4:$D$4,0))</f>
        <v>75</v>
      </c>
      <c r="F13" s="3" t="str">
        <f>Assumptions!F18</f>
        <v>Test transactions, refunds, payment edge cases</v>
      </c>
      <c r="G13" s="1"/>
      <c r="H13" s="1"/>
    </row>
    <row r="14" spans="1:14">
      <c r="A14" s="5" t="s">
        <v>121</v>
      </c>
      <c r="B14" s="10">
        <f>SUM(B5:B13)</f>
        <v>1329</v>
      </c>
      <c r="C14" s="10">
        <f>SUM(C5:C13)</f>
        <v>4074</v>
      </c>
      <c r="D14" s="10">
        <f>SUM(D5:D13)</f>
        <v>9809</v>
      </c>
      <c r="E14" s="10">
        <f>SUM(E5:E13)</f>
        <v>4074</v>
      </c>
      <c r="F14" s="5"/>
      <c r="G14" s="1"/>
      <c r="H14" s="1"/>
    </row>
    <row r="15" spans="1:14">
      <c r="A15" s="5" t="s">
        <v>122</v>
      </c>
      <c r="B15" s="10">
        <f>B14*Assumptions!B19</f>
        <v>132.9</v>
      </c>
      <c r="C15" s="10">
        <f>C14*Assumptions!C19</f>
        <v>611.1</v>
      </c>
      <c r="D15" s="10">
        <f>D14*Assumptions!D19</f>
        <v>1961.8000000000002</v>
      </c>
      <c r="E15" s="10">
        <f>E14*INDEX(Assumptions!$B$19:$D$19,1,MATCH(Assumptions!$B$5,Assumptions!$B$9:$D$9,0))</f>
        <v>611.1</v>
      </c>
      <c r="F15" s="5"/>
      <c r="G15" s="1"/>
      <c r="H15" s="1"/>
    </row>
    <row r="16" spans="1:14">
      <c r="A16" s="5" t="s">
        <v>123</v>
      </c>
      <c r="B16" s="10">
        <f>B14+B15</f>
        <v>1461.9</v>
      </c>
      <c r="C16" s="10">
        <f>C14+C15</f>
        <v>4685.1000000000004</v>
      </c>
      <c r="D16" s="10">
        <f>D14+D15</f>
        <v>11770.8</v>
      </c>
      <c r="E16" s="10">
        <f>E14+E15</f>
        <v>4685.1000000000004</v>
      </c>
      <c r="F16" s="5"/>
      <c r="G16" s="1"/>
      <c r="H16" s="1"/>
    </row>
  </sheetData>
  <mergeCells count="2">
    <mergeCell ref="A1:F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showGridLines="0" workbookViewId="0">
      <selection activeCell="B40" sqref="B40"/>
    </sheetView>
  </sheetViews>
  <sheetFormatPr defaultRowHeight="14.25"/>
  <cols>
    <col min="1" max="1" width="33" customWidth="1"/>
    <col min="2" max="5" width="15.5" customWidth="1"/>
    <col min="6" max="6" width="18.125" customWidth="1"/>
    <col min="7" max="7" width="47.375" customWidth="1"/>
  </cols>
  <sheetData>
    <row r="1" spans="1:14" ht="23.25">
      <c r="A1" s="12" t="s">
        <v>124</v>
      </c>
      <c r="B1" s="12" t="s">
        <v>124</v>
      </c>
      <c r="C1" s="12" t="s">
        <v>124</v>
      </c>
      <c r="D1" s="12" t="s">
        <v>124</v>
      </c>
      <c r="E1" s="12" t="s">
        <v>124</v>
      </c>
      <c r="F1" s="12" t="s">
        <v>124</v>
      </c>
      <c r="G1" s="12" t="s">
        <v>124</v>
      </c>
      <c r="H1" s="6"/>
      <c r="I1" s="6"/>
      <c r="J1" s="6"/>
      <c r="K1" s="6"/>
      <c r="L1" s="6"/>
      <c r="M1" s="6"/>
      <c r="N1" s="6"/>
    </row>
    <row r="2" spans="1:14" s="20" customFormat="1">
      <c r="A2" s="14" t="s">
        <v>125</v>
      </c>
      <c r="B2" s="14" t="s">
        <v>125</v>
      </c>
      <c r="C2" s="14" t="s">
        <v>125</v>
      </c>
      <c r="D2" s="14" t="s">
        <v>125</v>
      </c>
      <c r="E2" s="14" t="s">
        <v>125</v>
      </c>
      <c r="F2" s="14" t="s">
        <v>125</v>
      </c>
      <c r="G2" s="14" t="s">
        <v>125</v>
      </c>
      <c r="H2" s="14" t="s">
        <v>125</v>
      </c>
    </row>
    <row r="3" spans="1:14">
      <c r="A3" s="1"/>
      <c r="B3" s="1"/>
      <c r="C3" s="1"/>
      <c r="D3" s="1"/>
      <c r="E3" s="1"/>
      <c r="F3" s="1"/>
      <c r="G3" s="1"/>
      <c r="H3" s="1"/>
    </row>
    <row r="4" spans="1:14" s="20" customFormat="1">
      <c r="A4" s="22" t="s">
        <v>119</v>
      </c>
      <c r="B4" s="22" t="s">
        <v>3</v>
      </c>
      <c r="C4" s="22" t="s">
        <v>4</v>
      </c>
      <c r="D4" s="22" t="s">
        <v>5</v>
      </c>
      <c r="E4" s="22" t="s">
        <v>120</v>
      </c>
      <c r="F4" s="22" t="s">
        <v>39</v>
      </c>
      <c r="G4" s="22" t="s">
        <v>40</v>
      </c>
      <c r="H4" s="24"/>
    </row>
    <row r="5" spans="1:14">
      <c r="A5" s="3" t="str">
        <f>Assumptions!A24</f>
        <v>Hosting - Vercel</v>
      </c>
      <c r="B5" s="4">
        <f>Assumptions!B24</f>
        <v>0</v>
      </c>
      <c r="C5" s="4">
        <f>Assumptions!C24</f>
        <v>20</v>
      </c>
      <c r="D5" s="4">
        <f>Assumptions!D24</f>
        <v>20</v>
      </c>
      <c r="E5" s="4">
        <f>INDEX(B5:D5,1,MATCH(Assumptions!$B$5,$B$4:$D$4,0))</f>
        <v>20</v>
      </c>
      <c r="F5" s="3" t="str">
        <f>Assumptions!E24</f>
        <v>Infrastructure</v>
      </c>
      <c r="G5" s="3" t="str">
        <f>Assumptions!F24</f>
        <v>Hobby for early tests; Pro for production/commercial use</v>
      </c>
      <c r="H5" s="1"/>
    </row>
    <row r="6" spans="1:14">
      <c r="A6" s="3" t="str">
        <f>Assumptions!A25</f>
        <v>Database/Auth - Supabase</v>
      </c>
      <c r="B6" s="4">
        <f>Assumptions!B25</f>
        <v>0</v>
      </c>
      <c r="C6" s="4">
        <f>Assumptions!C25</f>
        <v>25</v>
      </c>
      <c r="D6" s="4">
        <f>Assumptions!D25</f>
        <v>25</v>
      </c>
      <c r="E6" s="4">
        <f>INDEX(B6:D6,1,MATCH(Assumptions!$B$5,$B$4:$D$4,0))</f>
        <v>25</v>
      </c>
      <c r="F6" s="3" t="str">
        <f>Assumptions!E25</f>
        <v>Infrastructure</v>
      </c>
      <c r="G6" s="3" t="str">
        <f>Assumptions!F25</f>
        <v>Free for early tests; Pro recommended before launch</v>
      </c>
      <c r="H6" s="1"/>
    </row>
    <row r="7" spans="1:14">
      <c r="A7" s="3" t="str">
        <f>Assumptions!A26</f>
        <v>Object storage - Cloudflare R2</v>
      </c>
      <c r="B7" s="4">
        <f>Assumptions!B26</f>
        <v>3</v>
      </c>
      <c r="C7" s="4">
        <f>Assumptions!C26</f>
        <v>8</v>
      </c>
      <c r="D7" s="4">
        <f>Assumptions!D26</f>
        <v>20</v>
      </c>
      <c r="E7" s="4">
        <f>INDEX(B7:D7,1,MATCH(Assumptions!$B$5,$B$4:$D$4,0))</f>
        <v>8</v>
      </c>
      <c r="F7" s="3" t="str">
        <f>Assumptions!E26</f>
        <v>Infrastructure</v>
      </c>
      <c r="G7" s="3" t="str">
        <f>Assumptions!F26</f>
        <v>Audio/covers storage buffer; usage based</v>
      </c>
      <c r="H7" s="1"/>
    </row>
    <row r="8" spans="1:14">
      <c r="A8" s="3" t="str">
        <f>Assumptions!A27</f>
        <v>Transactional email - Resend</v>
      </c>
      <c r="B8" s="4">
        <f>Assumptions!B27</f>
        <v>0</v>
      </c>
      <c r="C8" s="4">
        <f>Assumptions!C27</f>
        <v>20</v>
      </c>
      <c r="D8" s="4">
        <f>Assumptions!D27</f>
        <v>20</v>
      </c>
      <c r="E8" s="4">
        <f>INDEX(B8:D8,1,MATCH(Assumptions!$B$5,$B$4:$D$4,0))</f>
        <v>20</v>
      </c>
      <c r="F8" s="3" t="str">
        <f>Assumptions!E27</f>
        <v>Email</v>
      </c>
      <c r="G8" s="3" t="str">
        <f>Assumptions!F27</f>
        <v>Free tier initially; Pro if volume/branding requires</v>
      </c>
      <c r="H8" s="1"/>
    </row>
    <row r="9" spans="1:14">
      <c r="A9" s="3" t="str">
        <f>Assumptions!A28</f>
        <v>Business email - Google/Zoho</v>
      </c>
      <c r="B9" s="4">
        <f>Assumptions!B28</f>
        <v>1</v>
      </c>
      <c r="C9" s="4">
        <f>Assumptions!C28</f>
        <v>7</v>
      </c>
      <c r="D9" s="4">
        <f>Assumptions!D28</f>
        <v>7</v>
      </c>
      <c r="E9" s="4">
        <f>INDEX(B9:D9,1,MATCH(Assumptions!$B$5,$B$4:$D$4,0))</f>
        <v>7</v>
      </c>
      <c r="F9" s="3" t="str">
        <f>Assumptions!E28</f>
        <v>Email</v>
      </c>
      <c r="G9" s="3" t="str">
        <f>Assumptions!F28</f>
        <v>One solopreneur inbox</v>
      </c>
      <c r="H9" s="1"/>
    </row>
    <row r="10" spans="1:14">
      <c r="A10" s="3" t="str">
        <f>Assumptions!A29</f>
        <v>AI text / assistant tools</v>
      </c>
      <c r="B10" s="4">
        <f>Assumptions!B29</f>
        <v>20</v>
      </c>
      <c r="C10" s="4">
        <f>Assumptions!C29</f>
        <v>40</v>
      </c>
      <c r="D10" s="4">
        <f>Assumptions!D29</f>
        <v>80</v>
      </c>
      <c r="E10" s="4">
        <f>INDEX(B10:D10,1,MATCH(Assumptions!$B$5,$B$4:$D$4,0))</f>
        <v>40</v>
      </c>
      <c r="F10" s="3" t="str">
        <f>Assumptions!E29</f>
        <v>AI tools</v>
      </c>
      <c r="G10" s="3" t="str">
        <f>Assumptions!F29</f>
        <v>Writing, support, content ops</v>
      </c>
      <c r="H10" s="1"/>
    </row>
    <row r="11" spans="1:14">
      <c r="A11" s="3" t="str">
        <f>Assumptions!A30</f>
        <v>AI voice / TTS credits</v>
      </c>
      <c r="B11" s="4">
        <f>Assumptions!B30</f>
        <v>6</v>
      </c>
      <c r="C11" s="4">
        <f>Assumptions!C30</f>
        <v>22</v>
      </c>
      <c r="D11" s="4">
        <f>Assumptions!D30</f>
        <v>99</v>
      </c>
      <c r="E11" s="4">
        <f>INDEX(B11:D11,1,MATCH(Assumptions!$B$5,$B$4:$D$4,0))</f>
        <v>22</v>
      </c>
      <c r="F11" s="3" t="str">
        <f>Assumptions!E30</f>
        <v>Audio</v>
      </c>
      <c r="G11" s="3" t="str">
        <f>Assumptions!F30</f>
        <v>Starter/creator/pro depending on production needs</v>
      </c>
      <c r="H11" s="1"/>
    </row>
    <row r="12" spans="1:14">
      <c r="A12" s="3" t="str">
        <f>Assumptions!A31</f>
        <v>Design tools</v>
      </c>
      <c r="B12" s="4">
        <f>Assumptions!B31</f>
        <v>0</v>
      </c>
      <c r="C12" s="4">
        <f>Assumptions!C31</f>
        <v>15</v>
      </c>
      <c r="D12" s="4">
        <f>Assumptions!D31</f>
        <v>20</v>
      </c>
      <c r="E12" s="4">
        <f>INDEX(B12:D12,1,MATCH(Assumptions!$B$5,$B$4:$D$4,0))</f>
        <v>15</v>
      </c>
      <c r="F12" s="3" t="str">
        <f>Assumptions!E31</f>
        <v>Creative</v>
      </c>
      <c r="G12" s="3" t="str">
        <f>Assumptions!F31</f>
        <v>Canva or equivalent</v>
      </c>
      <c r="H12" s="1"/>
    </row>
    <row r="13" spans="1:14">
      <c r="A13" s="3" t="str">
        <f>Assumptions!A32</f>
        <v>Analytics / monitoring</v>
      </c>
      <c r="B13" s="4">
        <f>Assumptions!B32</f>
        <v>0</v>
      </c>
      <c r="C13" s="4">
        <f>Assumptions!C32</f>
        <v>0</v>
      </c>
      <c r="D13" s="4">
        <f>Assumptions!D32</f>
        <v>20</v>
      </c>
      <c r="E13" s="4">
        <f>INDEX(B13:D13,1,MATCH(Assumptions!$B$5,$B$4:$D$4,0))</f>
        <v>0</v>
      </c>
      <c r="F13" s="3" t="str">
        <f>Assumptions!E32</f>
        <v>Infrastructure</v>
      </c>
      <c r="G13" s="3" t="str">
        <f>Assumptions!F32</f>
        <v>Free tier first; paid monitoring buffer</v>
      </c>
      <c r="H13" s="1"/>
    </row>
    <row r="14" spans="1:14">
      <c r="A14" s="3" t="str">
        <f>Assumptions!A33</f>
        <v>Accounting / invoicing tools</v>
      </c>
      <c r="B14" s="4">
        <f>Assumptions!B33</f>
        <v>0</v>
      </c>
      <c r="C14" s="4">
        <f>Assumptions!C33</f>
        <v>15</v>
      </c>
      <c r="D14" s="4">
        <f>Assumptions!D33</f>
        <v>30</v>
      </c>
      <c r="E14" s="4">
        <f>INDEX(B14:D14,1,MATCH(Assumptions!$B$5,$B$4:$D$4,0))</f>
        <v>15</v>
      </c>
      <c r="F14" s="3" t="str">
        <f>Assumptions!E33</f>
        <v>Operations</v>
      </c>
      <c r="G14" s="3" t="str">
        <f>Assumptions!F33</f>
        <v>May start with spreadsheets</v>
      </c>
      <c r="H14" s="1"/>
    </row>
    <row r="15" spans="1:14">
      <c r="A15" s="3" t="str">
        <f>Assumptions!A34</f>
        <v>Legal/compliance reserve</v>
      </c>
      <c r="B15" s="4">
        <f>Assumptions!B34</f>
        <v>50</v>
      </c>
      <c r="C15" s="4">
        <f>Assumptions!C34</f>
        <v>150</v>
      </c>
      <c r="D15" s="4">
        <f>Assumptions!D34</f>
        <v>300</v>
      </c>
      <c r="E15" s="4">
        <f>INDEX(B15:D15,1,MATCH(Assumptions!$B$5,$B$4:$D$4,0))</f>
        <v>150</v>
      </c>
      <c r="F15" s="3" t="str">
        <f>Assumptions!E34</f>
        <v>Operations</v>
      </c>
      <c r="G15" s="3" t="str">
        <f>Assumptions!F34</f>
        <v>Monthly reserve for reviews, notices, admin</v>
      </c>
      <c r="H15" s="1"/>
    </row>
    <row r="16" spans="1:14">
      <c r="A16" s="3" t="str">
        <f>Assumptions!A35</f>
        <v>Customer support / moderation reserve</v>
      </c>
      <c r="B16" s="4">
        <f>Assumptions!B35</f>
        <v>0</v>
      </c>
      <c r="C16" s="4">
        <f>Assumptions!C35</f>
        <v>50</v>
      </c>
      <c r="D16" s="4">
        <f>Assumptions!D35</f>
        <v>150</v>
      </c>
      <c r="E16" s="4">
        <f>INDEX(B16:D16,1,MATCH(Assumptions!$B$5,$B$4:$D$4,0))</f>
        <v>50</v>
      </c>
      <c r="F16" s="3" t="str">
        <f>Assumptions!E35</f>
        <v>Operations</v>
      </c>
      <c r="G16" s="3" t="str">
        <f>Assumptions!F35</f>
        <v>Solo time plus occasional help</v>
      </c>
      <c r="H16" s="1"/>
    </row>
    <row r="17" spans="1:8">
      <c r="A17" s="3" t="str">
        <f>Assumptions!A36</f>
        <v>Marketing tests</v>
      </c>
      <c r="B17" s="4">
        <f>Assumptions!B36</f>
        <v>150</v>
      </c>
      <c r="C17" s="4">
        <f>Assumptions!C36</f>
        <v>500</v>
      </c>
      <c r="D17" s="4">
        <f>Assumptions!D36</f>
        <v>1500</v>
      </c>
      <c r="E17" s="4">
        <f>INDEX(B17:D17,1,MATCH(Assumptions!$B$5,$B$4:$D$4,0))</f>
        <v>500</v>
      </c>
      <c r="F17" s="3" t="str">
        <f>Assumptions!E36</f>
        <v>Marketing</v>
      </c>
      <c r="G17" s="3" t="str">
        <f>Assumptions!F36</f>
        <v>Short-form demos, parent communities, creator tests</v>
      </c>
      <c r="H17" s="1"/>
    </row>
    <row r="18" spans="1:8">
      <c r="A18" s="3" t="str">
        <f>Assumptions!A37</f>
        <v>Community / creator incentives</v>
      </c>
      <c r="B18" s="4">
        <f>Assumptions!B37</f>
        <v>50</v>
      </c>
      <c r="C18" s="4">
        <f>Assumptions!C37</f>
        <v>150</v>
      </c>
      <c r="D18" s="4">
        <f>Assumptions!D37</f>
        <v>400</v>
      </c>
      <c r="E18" s="4">
        <f>INDEX(B18:D18,1,MATCH(Assumptions!$B$5,$B$4:$D$4,0))</f>
        <v>150</v>
      </c>
      <c r="F18" s="3" t="str">
        <f>Assumptions!E37</f>
        <v>Marketing</v>
      </c>
      <c r="G18" s="3" t="str">
        <f>Assumptions!F37</f>
        <v>Beta rewards, small creator payments, giveaways</v>
      </c>
      <c r="H18" s="1"/>
    </row>
    <row r="19" spans="1:8">
      <c r="A19" s="3" t="str">
        <f>Assumptions!A38</f>
        <v>Misc SaaS buffer</v>
      </c>
      <c r="B19" s="4">
        <f>Assumptions!B38</f>
        <v>25</v>
      </c>
      <c r="C19" s="4">
        <f>Assumptions!C38</f>
        <v>75</v>
      </c>
      <c r="D19" s="4">
        <f>Assumptions!D38</f>
        <v>150</v>
      </c>
      <c r="E19" s="4">
        <f>INDEX(B19:D19,1,MATCH(Assumptions!$B$5,$B$4:$D$4,0))</f>
        <v>75</v>
      </c>
      <c r="F19" s="3" t="str">
        <f>Assumptions!E38</f>
        <v>Operations</v>
      </c>
      <c r="G19" s="3" t="str">
        <f>Assumptions!F38</f>
        <v>Unexpected tools, plugins, templates</v>
      </c>
      <c r="H19" s="1"/>
    </row>
    <row r="20" spans="1:8">
      <c r="A20" s="5" t="s">
        <v>126</v>
      </c>
      <c r="B20" s="10">
        <f>SUM(B5:B19)</f>
        <v>305</v>
      </c>
      <c r="C20" s="10">
        <f>SUM(C5:C19)</f>
        <v>1097</v>
      </c>
      <c r="D20" s="10">
        <f>SUM(D5:D19)</f>
        <v>2841</v>
      </c>
      <c r="E20" s="10">
        <f>SUM(E5:E19)</f>
        <v>1097</v>
      </c>
      <c r="F20" s="5"/>
      <c r="G20" s="5"/>
      <c r="H20" s="1"/>
    </row>
  </sheetData>
  <mergeCells count="2">
    <mergeCell ref="A1:G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showGridLines="0" workbookViewId="0">
      <selection activeCell="K23" sqref="K23"/>
    </sheetView>
  </sheetViews>
  <sheetFormatPr defaultRowHeight="14.25"/>
  <cols>
    <col min="1" max="1" width="27.625" customWidth="1"/>
    <col min="2" max="13" width="11.5" customWidth="1"/>
    <col min="14" max="14" width="15.5" customWidth="1"/>
  </cols>
  <sheetData>
    <row r="1" spans="1:14" ht="25.5" customHeight="1">
      <c r="A1" s="12" t="s">
        <v>127</v>
      </c>
      <c r="B1" s="12" t="s">
        <v>127</v>
      </c>
      <c r="C1" s="12" t="s">
        <v>127</v>
      </c>
      <c r="D1" s="12" t="s">
        <v>127</v>
      </c>
      <c r="E1" s="12" t="s">
        <v>127</v>
      </c>
      <c r="F1" s="12" t="s">
        <v>127</v>
      </c>
      <c r="G1" s="12" t="s">
        <v>127</v>
      </c>
      <c r="H1" s="12" t="s">
        <v>127</v>
      </c>
      <c r="I1" s="12" t="s">
        <v>127</v>
      </c>
      <c r="J1" s="12" t="s">
        <v>127</v>
      </c>
      <c r="K1" s="12" t="s">
        <v>127</v>
      </c>
      <c r="L1" s="12" t="s">
        <v>127</v>
      </c>
      <c r="M1" s="12" t="s">
        <v>127</v>
      </c>
      <c r="N1" s="12" t="s">
        <v>127</v>
      </c>
    </row>
    <row r="2" spans="1:14">
      <c r="A2" s="13" t="s">
        <v>128</v>
      </c>
      <c r="B2" s="13" t="s">
        <v>128</v>
      </c>
      <c r="C2" s="13" t="s">
        <v>128</v>
      </c>
      <c r="D2" s="13" t="s">
        <v>128</v>
      </c>
      <c r="E2" s="13" t="s">
        <v>128</v>
      </c>
      <c r="F2" s="13" t="s">
        <v>128</v>
      </c>
      <c r="G2" s="13" t="s">
        <v>128</v>
      </c>
      <c r="H2" s="13" t="s">
        <v>128</v>
      </c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129</v>
      </c>
      <c r="B4" s="2" t="s">
        <v>130</v>
      </c>
      <c r="C4" s="2" t="s">
        <v>131</v>
      </c>
      <c r="D4" s="2" t="s">
        <v>132</v>
      </c>
      <c r="E4" s="2" t="s">
        <v>133</v>
      </c>
      <c r="F4" s="2" t="s">
        <v>134</v>
      </c>
      <c r="G4" s="2" t="s">
        <v>135</v>
      </c>
      <c r="H4" s="2" t="s">
        <v>136</v>
      </c>
      <c r="I4" s="2" t="s">
        <v>137</v>
      </c>
      <c r="J4" s="2" t="s">
        <v>138</v>
      </c>
      <c r="K4" s="2" t="s">
        <v>139</v>
      </c>
      <c r="L4" s="2" t="s">
        <v>140</v>
      </c>
      <c r="M4" s="2" t="s">
        <v>141</v>
      </c>
      <c r="N4" s="2" t="s">
        <v>142</v>
      </c>
    </row>
    <row r="5" spans="1:14">
      <c r="A5" s="3" t="s">
        <v>143</v>
      </c>
      <c r="B5" s="4">
        <f>INDEX(Assumptions!$B$43:$D$43,1,MATCH(Assumptions!$B$5,Assumptions!$B$42:$D$42,0))</f>
        <v>8000</v>
      </c>
      <c r="C5" s="4">
        <f t="shared" ref="C5:M5" si="0">B12</f>
        <v>2217.8999999999996</v>
      </c>
      <c r="D5" s="4">
        <f t="shared" si="0"/>
        <v>1120.8999999999996</v>
      </c>
      <c r="E5" s="4">
        <f t="shared" si="0"/>
        <v>23.899999999999636</v>
      </c>
      <c r="F5" s="4">
        <f t="shared" si="0"/>
        <v>-1036.6912500000003</v>
      </c>
      <c r="G5" s="4">
        <f t="shared" si="0"/>
        <v>-2060.8737500000002</v>
      </c>
      <c r="H5" s="4">
        <f t="shared" si="0"/>
        <v>-3048.6475</v>
      </c>
      <c r="I5" s="4">
        <f t="shared" si="0"/>
        <v>-4000.0124999999998</v>
      </c>
      <c r="J5" s="4">
        <f t="shared" si="0"/>
        <v>-4914.96875</v>
      </c>
      <c r="K5" s="4">
        <f t="shared" si="0"/>
        <v>-5793.5162499999997</v>
      </c>
      <c r="L5" s="4">
        <f t="shared" si="0"/>
        <v>-6635.6549999999997</v>
      </c>
      <c r="M5" s="4">
        <f t="shared" si="0"/>
        <v>-7441.3850000000002</v>
      </c>
      <c r="N5" s="4">
        <f>M5</f>
        <v>-7441.3850000000002</v>
      </c>
    </row>
    <row r="6" spans="1:14">
      <c r="A6" s="3" t="s">
        <v>144</v>
      </c>
      <c r="B6" s="4">
        <f>'Setup Budget'!E16</f>
        <v>4685.1000000000004</v>
      </c>
      <c r="C6" s="4">
        <f>0</f>
        <v>0</v>
      </c>
      <c r="D6" s="4">
        <f>0</f>
        <v>0</v>
      </c>
      <c r="E6" s="4">
        <f>0</f>
        <v>0</v>
      </c>
      <c r="F6" s="4">
        <f>0</f>
        <v>0</v>
      </c>
      <c r="G6" s="4">
        <f>0</f>
        <v>0</v>
      </c>
      <c r="H6" s="4">
        <f>0</f>
        <v>0</v>
      </c>
      <c r="I6" s="4">
        <f>0</f>
        <v>0</v>
      </c>
      <c r="J6" s="4">
        <f>0</f>
        <v>0</v>
      </c>
      <c r="K6" s="4">
        <f>0</f>
        <v>0</v>
      </c>
      <c r="L6" s="4">
        <f>0</f>
        <v>0</v>
      </c>
      <c r="M6" s="4">
        <f>0</f>
        <v>0</v>
      </c>
      <c r="N6" s="4">
        <f t="shared" ref="N6:N11" si="1">SUM(B6:M6)</f>
        <v>4685.1000000000004</v>
      </c>
    </row>
    <row r="7" spans="1:14">
      <c r="A7" s="3" t="s">
        <v>145</v>
      </c>
      <c r="B7" s="4">
        <f>'Monthly Opex'!E20</f>
        <v>1097</v>
      </c>
      <c r="C7" s="4">
        <f>'Monthly Opex'!E20</f>
        <v>1097</v>
      </c>
      <c r="D7" s="4">
        <f>'Monthly Opex'!E20</f>
        <v>1097</v>
      </c>
      <c r="E7" s="4">
        <f>'Monthly Opex'!E20</f>
        <v>1097</v>
      </c>
      <c r="F7" s="4">
        <f>'Monthly Opex'!E20</f>
        <v>1097</v>
      </c>
      <c r="G7" s="4">
        <f>'Monthly Opex'!E20</f>
        <v>1097</v>
      </c>
      <c r="H7" s="4">
        <f>'Monthly Opex'!E20</f>
        <v>1097</v>
      </c>
      <c r="I7" s="4">
        <f>'Monthly Opex'!E20</f>
        <v>1097</v>
      </c>
      <c r="J7" s="4">
        <f>'Monthly Opex'!E20</f>
        <v>1097</v>
      </c>
      <c r="K7" s="4">
        <f>'Monthly Opex'!E20</f>
        <v>1097</v>
      </c>
      <c r="L7" s="4">
        <f>'Monthly Opex'!E20</f>
        <v>1097</v>
      </c>
      <c r="M7" s="4">
        <f>'Monthly Opex'!E20</f>
        <v>1097</v>
      </c>
      <c r="N7" s="4">
        <f t="shared" si="1"/>
        <v>13164</v>
      </c>
    </row>
    <row r="8" spans="1:14">
      <c r="A8" s="3" t="s">
        <v>146</v>
      </c>
      <c r="B8" s="4">
        <f>IF(1&lt;=INDEX(Assumptions!$B$44:$D$44,1,MATCH(Assumptions!$B$5,Assumptions!$B$42:$D$42,0)),0,MAX(0,(1-INDEX(Assumptions!$B$44:$D$44,1,MATCH(Assumptions!$B$5,Assumptions!$B$42:$D$42,0)))*25)*INDEX(Assumptions!$B$45:$D$45,1,MATCH(Assumptions!$B$5,Assumptions!$B$42:$D$42,0)))</f>
        <v>0</v>
      </c>
      <c r="C8" s="4">
        <f>IF(2&lt;=INDEX(Assumptions!$B$44:$D$44,1,MATCH(Assumptions!$B$5,Assumptions!$B$42:$D$42,0)),0,MAX(0,(2-INDEX(Assumptions!$B$44:$D$44,1,MATCH(Assumptions!$B$5,Assumptions!$B$42:$D$42,0)))*25)*INDEX(Assumptions!$B$45:$D$45,1,MATCH(Assumptions!$B$5,Assumptions!$B$42:$D$42,0)))</f>
        <v>0</v>
      </c>
      <c r="D8" s="4">
        <f>IF(3&lt;=INDEX(Assumptions!$B$44:$D$44,1,MATCH(Assumptions!$B$5,Assumptions!$B$42:$D$42,0)),0,MAX(0,(3-INDEX(Assumptions!$B$44:$D$44,1,MATCH(Assumptions!$B$5,Assumptions!$B$42:$D$42,0)))*25)*INDEX(Assumptions!$B$45:$D$45,1,MATCH(Assumptions!$B$5,Assumptions!$B$42:$D$42,0)))</f>
        <v>0</v>
      </c>
      <c r="E8" s="4">
        <f>IF(4&lt;=INDEX(Assumptions!$B$44:$D$44,1,MATCH(Assumptions!$B$5,Assumptions!$B$42:$D$42,0)),0,MAX(0,(4-INDEX(Assumptions!$B$44:$D$44,1,MATCH(Assumptions!$B$5,Assumptions!$B$42:$D$42,0)))*25)*INDEX(Assumptions!$B$45:$D$45,1,MATCH(Assumptions!$B$5,Assumptions!$B$42:$D$42,0)))</f>
        <v>99.75</v>
      </c>
      <c r="F8" s="4">
        <f>IF(5&lt;=INDEX(Assumptions!$B$44:$D$44,1,MATCH(Assumptions!$B$5,Assumptions!$B$42:$D$42,0)),0,MAX(0,(5-INDEX(Assumptions!$B$44:$D$44,1,MATCH(Assumptions!$B$5,Assumptions!$B$42:$D$42,0)))*25)*INDEX(Assumptions!$B$45:$D$45,1,MATCH(Assumptions!$B$5,Assumptions!$B$42:$D$42,0)))</f>
        <v>199.5</v>
      </c>
      <c r="G8" s="4">
        <f>IF(6&lt;=INDEX(Assumptions!$B$44:$D$44,1,MATCH(Assumptions!$B$5,Assumptions!$B$42:$D$42,0)),0,MAX(0,(6-INDEX(Assumptions!$B$44:$D$44,1,MATCH(Assumptions!$B$5,Assumptions!$B$42:$D$42,0)))*25)*INDEX(Assumptions!$B$45:$D$45,1,MATCH(Assumptions!$B$5,Assumptions!$B$42:$D$42,0)))</f>
        <v>299.25</v>
      </c>
      <c r="H8" s="4">
        <f>IF(7&lt;=INDEX(Assumptions!$B$44:$D$44,1,MATCH(Assumptions!$B$5,Assumptions!$B$42:$D$42,0)),0,MAX(0,(7-INDEX(Assumptions!$B$44:$D$44,1,MATCH(Assumptions!$B$5,Assumptions!$B$42:$D$42,0)))*25)*INDEX(Assumptions!$B$45:$D$45,1,MATCH(Assumptions!$B$5,Assumptions!$B$42:$D$42,0)))</f>
        <v>399</v>
      </c>
      <c r="I8" s="4">
        <f>IF(8&lt;=INDEX(Assumptions!$B$44:$D$44,1,MATCH(Assumptions!$B$5,Assumptions!$B$42:$D$42,0)),0,MAX(0,(8-INDEX(Assumptions!$B$44:$D$44,1,MATCH(Assumptions!$B$5,Assumptions!$B$42:$D$42,0)))*25)*INDEX(Assumptions!$B$45:$D$45,1,MATCH(Assumptions!$B$5,Assumptions!$B$42:$D$42,0)))</f>
        <v>498.75</v>
      </c>
      <c r="J8" s="4">
        <f>IF(9&lt;=INDEX(Assumptions!$B$44:$D$44,1,MATCH(Assumptions!$B$5,Assumptions!$B$42:$D$42,0)),0,MAX(0,(9-INDEX(Assumptions!$B$44:$D$44,1,MATCH(Assumptions!$B$5,Assumptions!$B$42:$D$42,0)))*25)*INDEX(Assumptions!$B$45:$D$45,1,MATCH(Assumptions!$B$5,Assumptions!$B$42:$D$42,0)))</f>
        <v>598.5</v>
      </c>
      <c r="K8" s="4">
        <f>IF(10&lt;=INDEX(Assumptions!$B$44:$D$44,1,MATCH(Assumptions!$B$5,Assumptions!$B$42:$D$42,0)),0,MAX(0,(10-INDEX(Assumptions!$B$44:$D$44,1,MATCH(Assumptions!$B$5,Assumptions!$B$42:$D$42,0)))*25)*INDEX(Assumptions!$B$45:$D$45,1,MATCH(Assumptions!$B$5,Assumptions!$B$42:$D$42,0)))</f>
        <v>698.25</v>
      </c>
      <c r="L8" s="4">
        <f>IF(11&lt;=INDEX(Assumptions!$B$44:$D$44,1,MATCH(Assumptions!$B$5,Assumptions!$B$42:$D$42,0)),0,MAX(0,(11-INDEX(Assumptions!$B$44:$D$44,1,MATCH(Assumptions!$B$5,Assumptions!$B$42:$D$42,0)))*25)*INDEX(Assumptions!$B$45:$D$45,1,MATCH(Assumptions!$B$5,Assumptions!$B$42:$D$42,0)))</f>
        <v>798</v>
      </c>
      <c r="M8" s="4">
        <f>IF(12&lt;=INDEX(Assumptions!$B$44:$D$44,1,MATCH(Assumptions!$B$5,Assumptions!$B$42:$D$42,0)),0,MAX(0,(12-INDEX(Assumptions!$B$44:$D$44,1,MATCH(Assumptions!$B$5,Assumptions!$B$42:$D$42,0)))*25)*INDEX(Assumptions!$B$45:$D$45,1,MATCH(Assumptions!$B$5,Assumptions!$B$42:$D$42,0)))</f>
        <v>897.75</v>
      </c>
      <c r="N8" s="4">
        <f t="shared" si="1"/>
        <v>4488.75</v>
      </c>
    </row>
    <row r="9" spans="1:14">
      <c r="A9" s="3" t="s">
        <v>147</v>
      </c>
      <c r="B9" s="4">
        <f>B8*INDEX(Assumptions!$B$46:$D$46,1,MATCH(Assumptions!$B$5,Assumptions!$B$42:$D$42,0))</f>
        <v>0</v>
      </c>
      <c r="C9" s="4">
        <f>C8*INDEX(Assumptions!$B$46:$D$46,1,MATCH(Assumptions!$B$5,Assumptions!$B$42:$D$42,0))</f>
        <v>0</v>
      </c>
      <c r="D9" s="4">
        <f>D8*INDEX(Assumptions!$B$46:$D$46,1,MATCH(Assumptions!$B$5,Assumptions!$B$42:$D$42,0))</f>
        <v>0</v>
      </c>
      <c r="E9" s="4">
        <f>E8*INDEX(Assumptions!$B$46:$D$46,1,MATCH(Assumptions!$B$5,Assumptions!$B$42:$D$42,0))</f>
        <v>59.849999999999994</v>
      </c>
      <c r="F9" s="4">
        <f>F8*INDEX(Assumptions!$B$46:$D$46,1,MATCH(Assumptions!$B$5,Assumptions!$B$42:$D$42,0))</f>
        <v>119.69999999999999</v>
      </c>
      <c r="G9" s="4">
        <f>G8*INDEX(Assumptions!$B$46:$D$46,1,MATCH(Assumptions!$B$5,Assumptions!$B$42:$D$42,0))</f>
        <v>179.54999999999998</v>
      </c>
      <c r="H9" s="4">
        <f>H8*INDEX(Assumptions!$B$46:$D$46,1,MATCH(Assumptions!$B$5,Assumptions!$B$42:$D$42,0))</f>
        <v>239.39999999999998</v>
      </c>
      <c r="I9" s="4">
        <f>I8*INDEX(Assumptions!$B$46:$D$46,1,MATCH(Assumptions!$B$5,Assumptions!$B$42:$D$42,0))</f>
        <v>299.25</v>
      </c>
      <c r="J9" s="4">
        <f>J8*INDEX(Assumptions!$B$46:$D$46,1,MATCH(Assumptions!$B$5,Assumptions!$B$42:$D$42,0))</f>
        <v>359.09999999999997</v>
      </c>
      <c r="K9" s="4">
        <f>K8*INDEX(Assumptions!$B$46:$D$46,1,MATCH(Assumptions!$B$5,Assumptions!$B$42:$D$42,0))</f>
        <v>418.95</v>
      </c>
      <c r="L9" s="4">
        <f>L8*INDEX(Assumptions!$B$46:$D$46,1,MATCH(Assumptions!$B$5,Assumptions!$B$42:$D$42,0))</f>
        <v>478.79999999999995</v>
      </c>
      <c r="M9" s="4">
        <f>M8*INDEX(Assumptions!$B$46:$D$46,1,MATCH(Assumptions!$B$5,Assumptions!$B$42:$D$42,0))</f>
        <v>538.65</v>
      </c>
      <c r="N9" s="4">
        <f t="shared" si="1"/>
        <v>2693.25</v>
      </c>
    </row>
    <row r="10" spans="1:14">
      <c r="A10" s="3" t="s">
        <v>148</v>
      </c>
      <c r="B10" s="4">
        <f>B8*INDEX(Assumptions!$B$47:$D$47,1,MATCH(Assumptions!$B$5,Assumptions!$B$42:$D$42,0))</f>
        <v>0</v>
      </c>
      <c r="C10" s="4">
        <f>C8*INDEX(Assumptions!$B$47:$D$47,1,MATCH(Assumptions!$B$5,Assumptions!$B$42:$D$42,0))</f>
        <v>0</v>
      </c>
      <c r="D10" s="4">
        <f>D8*INDEX(Assumptions!$B$47:$D$47,1,MATCH(Assumptions!$B$5,Assumptions!$B$42:$D$42,0))</f>
        <v>0</v>
      </c>
      <c r="E10" s="4">
        <f>E8*INDEX(Assumptions!$B$47:$D$47,1,MATCH(Assumptions!$B$5,Assumptions!$B$42:$D$42,0))</f>
        <v>3.4912500000000004</v>
      </c>
      <c r="F10" s="4">
        <f>F8*INDEX(Assumptions!$B$47:$D$47,1,MATCH(Assumptions!$B$5,Assumptions!$B$42:$D$42,0))</f>
        <v>6.9825000000000008</v>
      </c>
      <c r="G10" s="4">
        <f>G8*INDEX(Assumptions!$B$47:$D$47,1,MATCH(Assumptions!$B$5,Assumptions!$B$42:$D$42,0))</f>
        <v>10.473750000000001</v>
      </c>
      <c r="H10" s="4">
        <f>H8*INDEX(Assumptions!$B$47:$D$47,1,MATCH(Assumptions!$B$5,Assumptions!$B$42:$D$42,0))</f>
        <v>13.965000000000002</v>
      </c>
      <c r="I10" s="4">
        <f>I8*INDEX(Assumptions!$B$47:$D$47,1,MATCH(Assumptions!$B$5,Assumptions!$B$42:$D$42,0))</f>
        <v>17.456250000000001</v>
      </c>
      <c r="J10" s="4">
        <f>J8*INDEX(Assumptions!$B$47:$D$47,1,MATCH(Assumptions!$B$5,Assumptions!$B$42:$D$42,0))</f>
        <v>20.947500000000002</v>
      </c>
      <c r="K10" s="4">
        <f>K8*INDEX(Assumptions!$B$47:$D$47,1,MATCH(Assumptions!$B$5,Assumptions!$B$42:$D$42,0))</f>
        <v>24.438750000000002</v>
      </c>
      <c r="L10" s="4">
        <f>L8*INDEX(Assumptions!$B$47:$D$47,1,MATCH(Assumptions!$B$5,Assumptions!$B$42:$D$42,0))</f>
        <v>27.930000000000003</v>
      </c>
      <c r="M10" s="4">
        <f>M8*INDEX(Assumptions!$B$47:$D$47,1,MATCH(Assumptions!$B$5,Assumptions!$B$42:$D$42,0))</f>
        <v>31.421250000000004</v>
      </c>
      <c r="N10" s="4">
        <f t="shared" si="1"/>
        <v>157.10625000000002</v>
      </c>
    </row>
    <row r="11" spans="1:14">
      <c r="A11" s="3" t="s">
        <v>149</v>
      </c>
      <c r="B11" s="4">
        <f t="shared" ref="B11:M11" si="2">B8-B9-B10-B6-B7</f>
        <v>-5782.1</v>
      </c>
      <c r="C11" s="4">
        <f t="shared" si="2"/>
        <v>-1097</v>
      </c>
      <c r="D11" s="4">
        <f t="shared" si="2"/>
        <v>-1097</v>
      </c>
      <c r="E11" s="4">
        <f t="shared" si="2"/>
        <v>-1060.5912499999999</v>
      </c>
      <c r="F11" s="4">
        <f t="shared" si="2"/>
        <v>-1024.1824999999999</v>
      </c>
      <c r="G11" s="4">
        <f t="shared" si="2"/>
        <v>-987.77374999999995</v>
      </c>
      <c r="H11" s="4">
        <f t="shared" si="2"/>
        <v>-951.36500000000001</v>
      </c>
      <c r="I11" s="4">
        <f t="shared" si="2"/>
        <v>-914.95624999999995</v>
      </c>
      <c r="J11" s="4">
        <f t="shared" si="2"/>
        <v>-878.5474999999999</v>
      </c>
      <c r="K11" s="4">
        <f t="shared" si="2"/>
        <v>-842.13874999999996</v>
      </c>
      <c r="L11" s="4">
        <f t="shared" si="2"/>
        <v>-805.73</v>
      </c>
      <c r="M11" s="4">
        <f t="shared" si="2"/>
        <v>-769.32124999999996</v>
      </c>
      <c r="N11" s="4">
        <f t="shared" si="1"/>
        <v>-16210.706249999999</v>
      </c>
    </row>
    <row r="12" spans="1:14">
      <c r="A12" s="3" t="s">
        <v>150</v>
      </c>
      <c r="B12" s="4">
        <f t="shared" ref="B12:M12" si="3">B5+B11</f>
        <v>2217.8999999999996</v>
      </c>
      <c r="C12" s="4">
        <f t="shared" si="3"/>
        <v>1120.8999999999996</v>
      </c>
      <c r="D12" s="4">
        <f t="shared" si="3"/>
        <v>23.899999999999636</v>
      </c>
      <c r="E12" s="4">
        <f t="shared" si="3"/>
        <v>-1036.6912500000003</v>
      </c>
      <c r="F12" s="4">
        <f t="shared" si="3"/>
        <v>-2060.8737500000002</v>
      </c>
      <c r="G12" s="4">
        <f t="shared" si="3"/>
        <v>-3048.6475</v>
      </c>
      <c r="H12" s="4">
        <f t="shared" si="3"/>
        <v>-4000.0124999999998</v>
      </c>
      <c r="I12" s="4">
        <f t="shared" si="3"/>
        <v>-4914.96875</v>
      </c>
      <c r="J12" s="4">
        <f t="shared" si="3"/>
        <v>-5793.5162499999997</v>
      </c>
      <c r="K12" s="4">
        <f t="shared" si="3"/>
        <v>-6635.6549999999997</v>
      </c>
      <c r="L12" s="4">
        <f t="shared" si="3"/>
        <v>-7441.3850000000002</v>
      </c>
      <c r="M12" s="4">
        <f t="shared" si="3"/>
        <v>-8210.7062499999993</v>
      </c>
      <c r="N12" s="4">
        <f>M12</f>
        <v>-8210.7062499999993</v>
      </c>
    </row>
    <row r="13" spans="1:14">
      <c r="A13" s="3" t="s">
        <v>151</v>
      </c>
      <c r="B13" s="4">
        <f t="shared" ref="B13:M13" si="4">MAX(0,-B12)</f>
        <v>0</v>
      </c>
      <c r="C13" s="4">
        <f t="shared" si="4"/>
        <v>0</v>
      </c>
      <c r="D13" s="4">
        <f t="shared" si="4"/>
        <v>0</v>
      </c>
      <c r="E13" s="4">
        <f t="shared" si="4"/>
        <v>1036.6912500000003</v>
      </c>
      <c r="F13" s="4">
        <f t="shared" si="4"/>
        <v>2060.8737500000002</v>
      </c>
      <c r="G13" s="4">
        <f t="shared" si="4"/>
        <v>3048.6475</v>
      </c>
      <c r="H13" s="4">
        <f t="shared" si="4"/>
        <v>4000.0124999999998</v>
      </c>
      <c r="I13" s="4">
        <f t="shared" si="4"/>
        <v>4914.96875</v>
      </c>
      <c r="J13" s="4">
        <f t="shared" si="4"/>
        <v>5793.5162499999997</v>
      </c>
      <c r="K13" s="4">
        <f t="shared" si="4"/>
        <v>6635.6549999999997</v>
      </c>
      <c r="L13" s="4">
        <f t="shared" si="4"/>
        <v>7441.3850000000002</v>
      </c>
      <c r="M13" s="4">
        <f t="shared" si="4"/>
        <v>8210.7062499999993</v>
      </c>
      <c r="N13" s="4">
        <f>SUM(B13:M13)</f>
        <v>43142.456250000003</v>
      </c>
    </row>
    <row r="14" spans="1:14" ht="25.5">
      <c r="A14" s="5" t="s">
        <v>152</v>
      </c>
      <c r="B14" s="5" t="str">
        <f t="shared" ref="B14:M14" si="5">IF(B12&gt;=0,"OK","Needs funding")</f>
        <v>OK</v>
      </c>
      <c r="C14" s="5" t="str">
        <f t="shared" si="5"/>
        <v>OK</v>
      </c>
      <c r="D14" s="5" t="str">
        <f t="shared" si="5"/>
        <v>OK</v>
      </c>
      <c r="E14" s="5" t="str">
        <f t="shared" si="5"/>
        <v>Needs funding</v>
      </c>
      <c r="F14" s="5" t="str">
        <f t="shared" si="5"/>
        <v>Needs funding</v>
      </c>
      <c r="G14" s="5" t="str">
        <f t="shared" si="5"/>
        <v>Needs funding</v>
      </c>
      <c r="H14" s="5" t="str">
        <f t="shared" si="5"/>
        <v>Needs funding</v>
      </c>
      <c r="I14" s="5" t="str">
        <f t="shared" si="5"/>
        <v>Needs funding</v>
      </c>
      <c r="J14" s="5" t="str">
        <f t="shared" si="5"/>
        <v>Needs funding</v>
      </c>
      <c r="K14" s="5" t="str">
        <f t="shared" si="5"/>
        <v>Needs funding</v>
      </c>
      <c r="L14" s="5" t="str">
        <f t="shared" si="5"/>
        <v>Needs funding</v>
      </c>
      <c r="M14" s="5" t="str">
        <f t="shared" si="5"/>
        <v>Needs funding</v>
      </c>
      <c r="N14" s="5" t="str">
        <f>IF(COUNTIF(B14:M14,"Needs funding")=0,"OK","Needs funding")</f>
        <v>Needs funding</v>
      </c>
    </row>
  </sheetData>
  <mergeCells count="2">
    <mergeCell ref="A1:N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showGridLines="0" workbookViewId="0">
      <selection activeCell="C28" sqref="C28"/>
    </sheetView>
  </sheetViews>
  <sheetFormatPr defaultRowHeight="14.25"/>
  <cols>
    <col min="1" max="1" width="22.25" customWidth="1"/>
    <col min="2" max="2" width="20.875" customWidth="1"/>
    <col min="3" max="4" width="16.875" customWidth="1"/>
    <col min="5" max="5" width="19.5" style="19" customWidth="1"/>
    <col min="6" max="6" width="48.5" customWidth="1"/>
  </cols>
  <sheetData>
    <row r="1" spans="1:12" ht="23.25">
      <c r="A1" s="12" t="s">
        <v>153</v>
      </c>
      <c r="B1" s="12" t="s">
        <v>153</v>
      </c>
      <c r="C1" s="12" t="s">
        <v>153</v>
      </c>
      <c r="D1" s="12" t="s">
        <v>153</v>
      </c>
      <c r="E1" s="12" t="s">
        <v>153</v>
      </c>
      <c r="F1" s="12" t="s">
        <v>153</v>
      </c>
      <c r="G1" s="6"/>
      <c r="H1" s="6"/>
      <c r="I1" s="6"/>
      <c r="J1" s="6"/>
      <c r="K1" s="6"/>
      <c r="L1" s="6"/>
    </row>
    <row r="2" spans="1:12" s="20" customFormat="1">
      <c r="A2" s="25" t="s">
        <v>154</v>
      </c>
      <c r="B2" s="25"/>
      <c r="C2" s="25"/>
      <c r="D2" s="25"/>
      <c r="E2" s="26"/>
      <c r="F2" s="25"/>
    </row>
    <row r="3" spans="1:12">
      <c r="A3" s="1"/>
      <c r="B3" s="1"/>
      <c r="C3" s="1"/>
      <c r="D3" s="1"/>
      <c r="E3" s="16"/>
      <c r="F3" s="1"/>
    </row>
    <row r="4" spans="1:12">
      <c r="A4" s="2" t="s">
        <v>155</v>
      </c>
      <c r="B4" s="2" t="s">
        <v>156</v>
      </c>
      <c r="C4" s="2" t="s">
        <v>157</v>
      </c>
      <c r="D4" s="2" t="s">
        <v>158</v>
      </c>
      <c r="E4" s="17" t="s">
        <v>159</v>
      </c>
      <c r="F4" s="2" t="s">
        <v>160</v>
      </c>
    </row>
    <row r="5" spans="1:12">
      <c r="A5" s="3" t="s">
        <v>161</v>
      </c>
      <c r="B5" s="3" t="s">
        <v>162</v>
      </c>
      <c r="C5" s="4">
        <v>0</v>
      </c>
      <c r="D5" s="4">
        <v>15</v>
      </c>
      <c r="E5" s="18" t="s">
        <v>163</v>
      </c>
      <c r="F5" s="3" t="s">
        <v>164</v>
      </c>
    </row>
    <row r="6" spans="1:12">
      <c r="A6" s="3" t="s">
        <v>165</v>
      </c>
      <c r="B6" s="3" t="s">
        <v>166</v>
      </c>
      <c r="C6" s="4">
        <v>20</v>
      </c>
      <c r="D6" s="4">
        <v>0</v>
      </c>
      <c r="E6" s="18" t="s">
        <v>163</v>
      </c>
      <c r="F6" s="3" t="s">
        <v>167</v>
      </c>
    </row>
    <row r="7" spans="1:12">
      <c r="A7" s="3" t="s">
        <v>21</v>
      </c>
      <c r="B7" s="3" t="s">
        <v>168</v>
      </c>
      <c r="C7" s="4">
        <v>25</v>
      </c>
      <c r="D7" s="4">
        <v>0</v>
      </c>
      <c r="E7" s="18" t="s">
        <v>163</v>
      </c>
      <c r="F7" s="3" t="s">
        <v>169</v>
      </c>
    </row>
    <row r="8" spans="1:12">
      <c r="A8" s="3" t="s">
        <v>170</v>
      </c>
      <c r="B8" s="3" t="s">
        <v>171</v>
      </c>
      <c r="C8" s="4">
        <v>8</v>
      </c>
      <c r="D8" s="4">
        <v>0</v>
      </c>
      <c r="E8" s="18" t="s">
        <v>163</v>
      </c>
      <c r="F8" s="3" t="s">
        <v>172</v>
      </c>
    </row>
    <row r="9" spans="1:12">
      <c r="A9" s="3" t="s">
        <v>173</v>
      </c>
      <c r="B9" s="3" t="s">
        <v>174</v>
      </c>
      <c r="C9" s="4">
        <v>20</v>
      </c>
      <c r="D9" s="4">
        <v>0</v>
      </c>
      <c r="E9" s="18" t="s">
        <v>175</v>
      </c>
      <c r="F9" s="3" t="s">
        <v>176</v>
      </c>
    </row>
    <row r="10" spans="1:12">
      <c r="A10" s="3" t="s">
        <v>177</v>
      </c>
      <c r="B10" s="3" t="s">
        <v>178</v>
      </c>
      <c r="C10" s="4">
        <v>7</v>
      </c>
      <c r="D10" s="4">
        <v>84</v>
      </c>
      <c r="E10" s="18" t="s">
        <v>163</v>
      </c>
      <c r="F10" s="3" t="s">
        <v>179</v>
      </c>
    </row>
    <row r="11" spans="1:12">
      <c r="A11" s="3" t="s">
        <v>180</v>
      </c>
      <c r="B11" s="3" t="s">
        <v>181</v>
      </c>
      <c r="C11" s="4">
        <v>0</v>
      </c>
      <c r="D11" s="4">
        <v>0</v>
      </c>
      <c r="E11" s="18" t="s">
        <v>163</v>
      </c>
      <c r="F11" s="3" t="s">
        <v>182</v>
      </c>
    </row>
    <row r="12" spans="1:12">
      <c r="A12" s="3" t="s">
        <v>183</v>
      </c>
      <c r="B12" s="3" t="s">
        <v>184</v>
      </c>
      <c r="C12" s="4">
        <v>40</v>
      </c>
      <c r="D12" s="4">
        <v>0</v>
      </c>
      <c r="E12" s="18" t="s">
        <v>175</v>
      </c>
      <c r="F12" s="3" t="s">
        <v>185</v>
      </c>
    </row>
    <row r="13" spans="1:12">
      <c r="A13" s="3" t="s">
        <v>186</v>
      </c>
      <c r="B13" s="3" t="s">
        <v>187</v>
      </c>
      <c r="C13" s="4">
        <v>22</v>
      </c>
      <c r="D13" s="4">
        <v>0</v>
      </c>
      <c r="E13" s="18" t="s">
        <v>175</v>
      </c>
      <c r="F13" s="3" t="s">
        <v>188</v>
      </c>
    </row>
    <row r="14" spans="1:12">
      <c r="A14" s="3" t="s">
        <v>189</v>
      </c>
      <c r="B14" s="3" t="s">
        <v>72</v>
      </c>
      <c r="C14" s="4">
        <v>15</v>
      </c>
      <c r="D14" s="4">
        <v>0</v>
      </c>
      <c r="E14" s="18" t="s">
        <v>190</v>
      </c>
      <c r="F14" s="3" t="s">
        <v>191</v>
      </c>
    </row>
    <row r="15" spans="1:12">
      <c r="A15" s="3" t="s">
        <v>192</v>
      </c>
      <c r="B15" s="3" t="s">
        <v>193</v>
      </c>
      <c r="C15" s="4">
        <v>0</v>
      </c>
      <c r="D15" s="4">
        <v>0</v>
      </c>
      <c r="E15" s="18" t="s">
        <v>175</v>
      </c>
      <c r="F15" s="3" t="s">
        <v>194</v>
      </c>
    </row>
    <row r="16" spans="1:12">
      <c r="A16" s="3" t="s">
        <v>195</v>
      </c>
      <c r="B16" s="3" t="s">
        <v>196</v>
      </c>
      <c r="C16" s="4">
        <v>0</v>
      </c>
      <c r="D16" s="4">
        <v>0</v>
      </c>
      <c r="E16" s="18" t="s">
        <v>190</v>
      </c>
      <c r="F16" s="3" t="s">
        <v>197</v>
      </c>
    </row>
    <row r="17" spans="1:6">
      <c r="A17" s="3" t="s">
        <v>198</v>
      </c>
      <c r="B17" s="3" t="s">
        <v>199</v>
      </c>
      <c r="C17" s="4">
        <v>150</v>
      </c>
      <c r="D17" s="4">
        <v>1000</v>
      </c>
      <c r="E17" s="18" t="s">
        <v>163</v>
      </c>
      <c r="F17" s="3" t="s">
        <v>200</v>
      </c>
    </row>
    <row r="18" spans="1:6">
      <c r="A18" s="3" t="s">
        <v>93</v>
      </c>
      <c r="B18" s="3" t="s">
        <v>201</v>
      </c>
      <c r="C18" s="4">
        <v>500</v>
      </c>
      <c r="D18" s="4">
        <v>0</v>
      </c>
      <c r="E18" s="18" t="s">
        <v>163</v>
      </c>
      <c r="F18" s="3" t="s">
        <v>202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showGridLines="0" workbookViewId="0">
      <selection activeCell="E21" sqref="E21"/>
    </sheetView>
  </sheetViews>
  <sheetFormatPr defaultRowHeight="14.25"/>
  <cols>
    <col min="1" max="1" width="27.625" customWidth="1"/>
    <col min="2" max="3" width="15.5" customWidth="1"/>
    <col min="4" max="5" width="16.875" customWidth="1"/>
    <col min="6" max="6" width="45.875" customWidth="1"/>
  </cols>
  <sheetData>
    <row r="1" spans="1:12" ht="23.25">
      <c r="A1" s="12" t="s">
        <v>203</v>
      </c>
      <c r="B1" s="12" t="s">
        <v>203</v>
      </c>
      <c r="C1" s="12" t="s">
        <v>203</v>
      </c>
      <c r="D1" s="12" t="s">
        <v>203</v>
      </c>
      <c r="E1" s="12" t="s">
        <v>203</v>
      </c>
      <c r="F1" s="12" t="s">
        <v>203</v>
      </c>
      <c r="G1" s="6"/>
      <c r="H1" s="6"/>
      <c r="I1" s="6"/>
      <c r="J1" s="6"/>
      <c r="K1" s="6"/>
      <c r="L1" s="6"/>
    </row>
    <row r="2" spans="1:12" s="20" customFormat="1">
      <c r="A2" s="25" t="s">
        <v>204</v>
      </c>
      <c r="B2" s="25"/>
      <c r="C2" s="25"/>
      <c r="D2" s="25"/>
      <c r="E2" s="25"/>
      <c r="F2" s="25"/>
    </row>
    <row r="3" spans="1:12">
      <c r="A3" s="1"/>
      <c r="B3" s="1"/>
      <c r="C3" s="1"/>
      <c r="D3" s="1"/>
      <c r="E3" s="1"/>
      <c r="F3" s="1"/>
    </row>
    <row r="4" spans="1:12">
      <c r="A4" s="2" t="s">
        <v>205</v>
      </c>
      <c r="B4" s="2" t="s">
        <v>206</v>
      </c>
      <c r="C4" s="2" t="s">
        <v>207</v>
      </c>
      <c r="D4" s="2" t="s">
        <v>208</v>
      </c>
      <c r="E4" s="2" t="s">
        <v>142</v>
      </c>
      <c r="F4" s="2" t="s">
        <v>209</v>
      </c>
    </row>
    <row r="5" spans="1:12">
      <c r="A5" s="3" t="s">
        <v>210</v>
      </c>
      <c r="B5" s="4">
        <v>150</v>
      </c>
      <c r="C5" s="4">
        <v>150</v>
      </c>
      <c r="D5" s="4">
        <v>150</v>
      </c>
      <c r="E5" s="4">
        <f t="shared" ref="E5:E12" si="0">SUM(B5:D5)</f>
        <v>450</v>
      </c>
      <c r="F5" s="3" t="s">
        <v>211</v>
      </c>
    </row>
    <row r="6" spans="1:12">
      <c r="A6" s="3" t="s">
        <v>212</v>
      </c>
      <c r="B6" s="4">
        <v>150</v>
      </c>
      <c r="C6" s="4">
        <v>250</v>
      </c>
      <c r="D6" s="4">
        <v>350</v>
      </c>
      <c r="E6" s="4">
        <f t="shared" si="0"/>
        <v>750</v>
      </c>
      <c r="F6" s="3" t="s">
        <v>213</v>
      </c>
    </row>
    <row r="7" spans="1:12">
      <c r="A7" s="3" t="s">
        <v>214</v>
      </c>
      <c r="B7" s="4">
        <v>100</v>
      </c>
      <c r="C7" s="4">
        <v>150</v>
      </c>
      <c r="D7" s="4">
        <v>200</v>
      </c>
      <c r="E7" s="4">
        <f t="shared" si="0"/>
        <v>450</v>
      </c>
      <c r="F7" s="3" t="s">
        <v>215</v>
      </c>
    </row>
    <row r="8" spans="1:12">
      <c r="A8" s="3" t="s">
        <v>216</v>
      </c>
      <c r="B8" s="4">
        <v>100</v>
      </c>
      <c r="C8" s="4">
        <v>150</v>
      </c>
      <c r="D8" s="4">
        <v>250</v>
      </c>
      <c r="E8" s="4">
        <f t="shared" si="0"/>
        <v>500</v>
      </c>
      <c r="F8" s="3" t="s">
        <v>217</v>
      </c>
    </row>
    <row r="9" spans="1:12">
      <c r="A9" s="3" t="s">
        <v>218</v>
      </c>
      <c r="B9" s="4">
        <v>50</v>
      </c>
      <c r="C9" s="4">
        <v>75</v>
      </c>
      <c r="D9" s="4">
        <v>100</v>
      </c>
      <c r="E9" s="4">
        <f t="shared" si="0"/>
        <v>225</v>
      </c>
      <c r="F9" s="3" t="s">
        <v>219</v>
      </c>
    </row>
    <row r="10" spans="1:12">
      <c r="A10" s="3" t="s">
        <v>220</v>
      </c>
      <c r="B10" s="4">
        <v>25</v>
      </c>
      <c r="C10" s="4">
        <v>25</v>
      </c>
      <c r="D10" s="4">
        <v>25</v>
      </c>
      <c r="E10" s="4">
        <f t="shared" si="0"/>
        <v>75</v>
      </c>
      <c r="F10" s="3" t="s">
        <v>221</v>
      </c>
    </row>
    <row r="11" spans="1:12">
      <c r="A11" s="3" t="s">
        <v>222</v>
      </c>
      <c r="B11" s="4">
        <v>0</v>
      </c>
      <c r="C11" s="4">
        <v>50</v>
      </c>
      <c r="D11" s="4">
        <v>100</v>
      </c>
      <c r="E11" s="4">
        <f t="shared" si="0"/>
        <v>150</v>
      </c>
      <c r="F11" s="3" t="s">
        <v>223</v>
      </c>
    </row>
    <row r="12" spans="1:12">
      <c r="A12" s="3" t="s">
        <v>224</v>
      </c>
      <c r="B12" s="4">
        <v>25</v>
      </c>
      <c r="C12" s="4">
        <v>50</v>
      </c>
      <c r="D12" s="4">
        <v>75</v>
      </c>
      <c r="E12" s="4">
        <f t="shared" si="0"/>
        <v>150</v>
      </c>
      <c r="F12" s="3" t="s">
        <v>225</v>
      </c>
    </row>
    <row r="13" spans="1:12">
      <c r="A13" s="5" t="s">
        <v>142</v>
      </c>
      <c r="B13" s="10">
        <f>SUM(B5:B12)</f>
        <v>600</v>
      </c>
      <c r="C13" s="10">
        <f>SUM(C5:C12)</f>
        <v>900</v>
      </c>
      <c r="D13" s="10">
        <f>SUM(D5:D12)</f>
        <v>1250</v>
      </c>
      <c r="E13" s="10">
        <f>SUM(E5:E12)</f>
        <v>2750</v>
      </c>
      <c r="F13" s="5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showGridLines="0" workbookViewId="0">
      <selection activeCell="D27" sqref="D27"/>
    </sheetView>
  </sheetViews>
  <sheetFormatPr defaultRowHeight="14.25"/>
  <cols>
    <col min="1" max="1" width="19" customWidth="1"/>
    <col min="2" max="2" width="26.5" customWidth="1"/>
    <col min="3" max="3" width="50.5" customWidth="1"/>
    <col min="4" max="4" width="74.125" customWidth="1"/>
  </cols>
  <sheetData>
    <row r="1" spans="1:10" ht="25.5" customHeight="1">
      <c r="A1" s="12" t="s">
        <v>226</v>
      </c>
      <c r="B1" s="12" t="s">
        <v>226</v>
      </c>
      <c r="C1" s="12" t="s">
        <v>226</v>
      </c>
      <c r="D1" s="12" t="s">
        <v>226</v>
      </c>
      <c r="E1" s="6"/>
      <c r="F1" s="6"/>
      <c r="G1" s="6"/>
      <c r="H1" s="6"/>
      <c r="I1" s="6"/>
      <c r="J1" s="6"/>
    </row>
    <row r="2" spans="1:10" s="20" customFormat="1">
      <c r="A2" s="25" t="s">
        <v>227</v>
      </c>
      <c r="B2" s="25"/>
      <c r="C2" s="25"/>
      <c r="D2" s="25"/>
    </row>
    <row r="3" spans="1:10">
      <c r="A3" s="1"/>
      <c r="B3" s="1"/>
      <c r="C3" s="1"/>
      <c r="D3" s="1"/>
    </row>
    <row r="4" spans="1:10" s="20" customFormat="1">
      <c r="A4" s="22" t="s">
        <v>228</v>
      </c>
      <c r="B4" s="22" t="s">
        <v>229</v>
      </c>
      <c r="C4" s="22" t="s">
        <v>230</v>
      </c>
      <c r="D4" s="22" t="s">
        <v>40</v>
      </c>
    </row>
    <row r="5" spans="1:10">
      <c r="A5" s="3" t="s">
        <v>165</v>
      </c>
      <c r="B5" s="3" t="s">
        <v>231</v>
      </c>
      <c r="C5" s="3" t="s">
        <v>232</v>
      </c>
      <c r="D5" s="3" t="s">
        <v>233</v>
      </c>
    </row>
    <row r="6" spans="1:10">
      <c r="A6" s="3" t="s">
        <v>234</v>
      </c>
      <c r="B6" s="3" t="s">
        <v>235</v>
      </c>
      <c r="C6" s="3" t="s">
        <v>236</v>
      </c>
      <c r="D6" s="3" t="s">
        <v>237</v>
      </c>
    </row>
    <row r="7" spans="1:10">
      <c r="A7" s="3" t="s">
        <v>21</v>
      </c>
      <c r="B7" s="3" t="s">
        <v>238</v>
      </c>
      <c r="C7" s="3" t="s">
        <v>239</v>
      </c>
      <c r="D7" s="3" t="s">
        <v>240</v>
      </c>
    </row>
    <row r="8" spans="1:10">
      <c r="A8" s="3" t="s">
        <v>241</v>
      </c>
      <c r="B8" s="3" t="s">
        <v>242</v>
      </c>
      <c r="C8" s="3" t="s">
        <v>243</v>
      </c>
      <c r="D8" s="3" t="s">
        <v>244</v>
      </c>
    </row>
    <row r="9" spans="1:10">
      <c r="A9" s="3" t="s">
        <v>245</v>
      </c>
      <c r="B9" s="3" t="s">
        <v>246</v>
      </c>
      <c r="C9" s="3" t="s">
        <v>247</v>
      </c>
      <c r="D9" s="3" t="s">
        <v>248</v>
      </c>
    </row>
    <row r="10" spans="1:10">
      <c r="A10" s="3" t="s">
        <v>249</v>
      </c>
      <c r="B10" s="3" t="s">
        <v>250</v>
      </c>
      <c r="C10" s="3" t="s">
        <v>251</v>
      </c>
      <c r="D10" s="3" t="s">
        <v>252</v>
      </c>
    </row>
    <row r="11" spans="1:10">
      <c r="A11" s="3" t="s">
        <v>253</v>
      </c>
      <c r="B11" s="3" t="s">
        <v>254</v>
      </c>
      <c r="C11" s="3" t="s">
        <v>255</v>
      </c>
      <c r="D11" s="3" t="s">
        <v>256</v>
      </c>
    </row>
    <row r="12" spans="1:10" ht="25.5">
      <c r="A12" s="3" t="s">
        <v>257</v>
      </c>
      <c r="B12" s="3" t="s">
        <v>258</v>
      </c>
      <c r="C12" s="3" t="s">
        <v>259</v>
      </c>
      <c r="D12" s="3" t="s">
        <v>260</v>
      </c>
    </row>
    <row r="13" spans="1:10">
      <c r="A13" s="3" t="s">
        <v>261</v>
      </c>
      <c r="B13" s="3" t="s">
        <v>262</v>
      </c>
      <c r="C13" s="3" t="s">
        <v>263</v>
      </c>
      <c r="D13" s="3" t="s">
        <v>264</v>
      </c>
    </row>
    <row r="14" spans="1:10">
      <c r="A14" s="3" t="s">
        <v>180</v>
      </c>
      <c r="B14" s="3" t="s">
        <v>265</v>
      </c>
      <c r="C14" s="3" t="s">
        <v>266</v>
      </c>
      <c r="D14" s="3" t="s">
        <v>267</v>
      </c>
    </row>
    <row r="15" spans="1:10">
      <c r="A15" s="3" t="s">
        <v>268</v>
      </c>
      <c r="B15" s="3" t="s">
        <v>269</v>
      </c>
      <c r="C15" s="3" t="s">
        <v>270</v>
      </c>
      <c r="D15" s="3" t="s">
        <v>271</v>
      </c>
    </row>
    <row r="16" spans="1:10">
      <c r="A16" s="3" t="s">
        <v>272</v>
      </c>
      <c r="B16" s="3" t="s">
        <v>273</v>
      </c>
      <c r="C16" s="3" t="s">
        <v>274</v>
      </c>
      <c r="D16" s="3" t="s">
        <v>275</v>
      </c>
    </row>
    <row r="17" spans="1:4">
      <c r="A17" s="3" t="s">
        <v>276</v>
      </c>
      <c r="B17" s="3" t="s">
        <v>277</v>
      </c>
      <c r="C17" s="3" t="s">
        <v>278</v>
      </c>
      <c r="D17" s="3" t="s">
        <v>279</v>
      </c>
    </row>
    <row r="18" spans="1:4" ht="25.5">
      <c r="A18" s="3" t="s">
        <v>280</v>
      </c>
      <c r="B18" s="3" t="s">
        <v>281</v>
      </c>
      <c r="C18" s="3" t="s">
        <v>282</v>
      </c>
      <c r="D18" s="3" t="s">
        <v>283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showGridLines="0" workbookViewId="0">
      <selection activeCell="D17" sqref="D17"/>
    </sheetView>
  </sheetViews>
  <sheetFormatPr defaultRowHeight="14.25"/>
  <cols>
    <col min="1" max="1" width="34.375" customWidth="1"/>
    <col min="2" max="4" width="16.875" customWidth="1"/>
    <col min="5" max="5" width="14.125" customWidth="1"/>
    <col min="6" max="6" width="55.625" customWidth="1"/>
  </cols>
  <sheetData>
    <row r="1" spans="1:12" ht="23.25">
      <c r="A1" s="12" t="s">
        <v>284</v>
      </c>
      <c r="B1" s="12" t="s">
        <v>284</v>
      </c>
      <c r="C1" s="12" t="s">
        <v>284</v>
      </c>
      <c r="D1" s="12" t="s">
        <v>284</v>
      </c>
      <c r="E1" s="12" t="s">
        <v>284</v>
      </c>
      <c r="F1" s="12" t="s">
        <v>284</v>
      </c>
      <c r="G1" s="6"/>
      <c r="H1" s="6"/>
      <c r="I1" s="6"/>
      <c r="J1" s="6"/>
      <c r="K1" s="6"/>
      <c r="L1" s="6"/>
    </row>
    <row r="2" spans="1:12">
      <c r="A2" s="25" t="s">
        <v>285</v>
      </c>
      <c r="B2" s="25"/>
      <c r="C2" s="25"/>
      <c r="D2" s="25"/>
      <c r="E2" s="25"/>
      <c r="F2" s="25"/>
    </row>
    <row r="3" spans="1:12">
      <c r="A3" s="1"/>
      <c r="B3" s="1"/>
      <c r="C3" s="1"/>
      <c r="D3" s="1"/>
      <c r="E3" s="1"/>
      <c r="F3" s="1"/>
    </row>
    <row r="4" spans="1:12" s="20" customFormat="1">
      <c r="A4" s="22" t="s">
        <v>286</v>
      </c>
      <c r="B4" s="22" t="s">
        <v>287</v>
      </c>
      <c r="C4" s="22" t="s">
        <v>288</v>
      </c>
      <c r="D4" s="22" t="s">
        <v>289</v>
      </c>
      <c r="E4" s="22" t="s">
        <v>290</v>
      </c>
      <c r="F4" s="22" t="s">
        <v>40</v>
      </c>
    </row>
    <row r="5" spans="1:12">
      <c r="A5" s="3" t="s">
        <v>291</v>
      </c>
      <c r="B5" s="4">
        <f>'Setup Budget'!E16</f>
        <v>4685.1000000000004</v>
      </c>
      <c r="C5" s="4">
        <f>'Setup Budget'!E14+'Setup Budget'!E15</f>
        <v>4685.1000000000004</v>
      </c>
      <c r="D5" s="4">
        <f>B5-C5</f>
        <v>0</v>
      </c>
      <c r="E5" s="11" t="str">
        <f>IF(ABS(D5)&lt;1,"OK","Check")</f>
        <v>OK</v>
      </c>
      <c r="F5" s="3" t="s">
        <v>292</v>
      </c>
    </row>
    <row r="6" spans="1:12">
      <c r="A6" s="3" t="s">
        <v>293</v>
      </c>
      <c r="B6" s="4">
        <f>'Monthly Opex'!E20</f>
        <v>1097</v>
      </c>
      <c r="C6" s="4">
        <f>SUM('Monthly Opex'!E5:E19)</f>
        <v>1097</v>
      </c>
      <c r="D6" s="4">
        <f>B6-C6</f>
        <v>0</v>
      </c>
      <c r="E6" s="11" t="str">
        <f>IF(ABS(D6)&lt;1,"OK","Check")</f>
        <v>OK</v>
      </c>
      <c r="F6" s="3" t="s">
        <v>294</v>
      </c>
    </row>
    <row r="7" spans="1:12">
      <c r="A7" s="3" t="s">
        <v>295</v>
      </c>
      <c r="B7" s="4">
        <f>'12-Month Cash Plan'!N13</f>
        <v>43142.456250000003</v>
      </c>
      <c r="C7" s="4">
        <f>SUM('12-Month Cash Plan'!B13:M13)</f>
        <v>43142.456250000003</v>
      </c>
      <c r="D7" s="4">
        <f>B7-C7</f>
        <v>0</v>
      </c>
      <c r="E7" s="11" t="str">
        <f>IF(ABS(D7)&lt;1,"OK","Check")</f>
        <v>OK</v>
      </c>
      <c r="F7" s="3" t="s">
        <v>296</v>
      </c>
    </row>
    <row r="8" spans="1:12">
      <c r="A8" s="3" t="s">
        <v>297</v>
      </c>
      <c r="B8" s="4">
        <f>'12-Month Cash Plan'!M12</f>
        <v>-8210.7062499999993</v>
      </c>
      <c r="C8" s="4">
        <f>'12-Month Cash Plan'!M5+'12-Month Cash Plan'!M11</f>
        <v>-8210.7062499999993</v>
      </c>
      <c r="D8" s="4">
        <f>B8-C8</f>
        <v>0</v>
      </c>
      <c r="E8" s="11" t="str">
        <f>IF(ABS(D8)&lt;1,"OK","Check")</f>
        <v>OK</v>
      </c>
      <c r="F8" s="3" t="s">
        <v>298</v>
      </c>
    </row>
    <row r="9" spans="1:12">
      <c r="A9" s="3" t="s">
        <v>26</v>
      </c>
      <c r="B9" s="3"/>
      <c r="C9" s="3"/>
      <c r="D9" s="3"/>
      <c r="E9" s="11" t="str">
        <f>IF(COUNTIF(E5:E8,"Check")=0,"OK","Review")</f>
        <v>OK</v>
      </c>
      <c r="F9" s="3" t="s">
        <v>299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Assumptions</vt:lpstr>
      <vt:lpstr>Setup Budget</vt:lpstr>
      <vt:lpstr>Monthly Opex</vt:lpstr>
      <vt:lpstr>12-Month Cash Plan</vt:lpstr>
      <vt:lpstr>Service Stack</vt:lpstr>
      <vt:lpstr>Launch Marketing</vt:lpstr>
      <vt:lpstr>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 latif</cp:lastModifiedBy>
  <dcterms:modified xsi:type="dcterms:W3CDTF">2026-05-17T10:05:52Z</dcterms:modified>
</cp:coreProperties>
</file>