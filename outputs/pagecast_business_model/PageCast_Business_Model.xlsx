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819b02d29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2a3addcc98045dd"/>
    <x:sheet xmlns:r="http://schemas.openxmlformats.org/officeDocument/2006/relationships" name="Business Model Canvas" sheetId="2" r:id="R114b2873da8d44d5"/>
    <x:sheet xmlns:r="http://schemas.openxmlformats.org/officeDocument/2006/relationships" name="Assumptions" sheetId="3" r:id="R99091e2f284e4d2b"/>
    <x:sheet xmlns:r="http://schemas.openxmlformats.org/officeDocument/2006/relationships" name="Revenue Model" sheetId="4" r:id="Rf777c86525564ac0"/>
    <x:sheet xmlns:r="http://schemas.openxmlformats.org/officeDocument/2006/relationships" name="Costs &amp; COGS" sheetId="5" r:id="R7a7e1f363ee5488a"/>
    <x:sheet xmlns:r="http://schemas.openxmlformats.org/officeDocument/2006/relationships" name="Marketing Funnel" sheetId="6" r:id="Rdbb99e75ce464533"/>
    <x:sheet xmlns:r="http://schemas.openxmlformats.org/officeDocument/2006/relationships" name="Scenarios" sheetId="7" r:id="R03283968fb8a4c23"/>
    <x:sheet xmlns:r="http://schemas.openxmlformats.org/officeDocument/2006/relationships" name="Unit Economics" sheetId="8" r:id="R25b4b7ca40b344da"/>
    <x:sheet xmlns:r="http://schemas.openxmlformats.org/officeDocument/2006/relationships" name="Launch Roadmap" sheetId="9" r:id="R5abdacfde57b4d50"/>
    <x:sheet xmlns:r="http://schemas.openxmlformats.org/officeDocument/2006/relationships" name="Competitor Matrix" sheetId="10" r:id="Ra4010cfb42344e96"/>
    <x:sheet xmlns:r="http://schemas.openxmlformats.org/officeDocument/2006/relationships" name="Sources &amp; Notes" sheetId="11" r:id="R0aad1c41d1d042c8"/>
    <x:sheet xmlns:r="http://schemas.openxmlformats.org/officeDocument/2006/relationships" name="Checks" sheetId="12" r:id="R46c03b36767f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%;[Red](0.0%);-"/>
    <x:numFmt numFmtId="202" formatCode="#,##0;[Red](#,##0);-"/>
    <x:numFmt numFmtId="203" formatCode="0.0"/>
  </x:numFmts>
  <x:fonts count="15">
    <x:font>
      <x:sz val="11"/>
      <x:name val="Carlito"/>
    </x:font>
    <x:font>
      <x:b/>
      <x:sz val="18"/>
      <x:color rgb="FFFFFF"/>
      <x:name val="Carlito"/>
    </x:font>
    <x:font>
      <x:i/>
      <x:sz val="10"/>
      <x:color rgb="D9E2F3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111827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b/>
      <x:sz val="11"/>
      <x:color rgb="111827"/>
      <x:name val="Carlito"/>
    </x:font>
    <x:font>
      <x:b/>
      <x:sz val="11"/>
      <x:color rgb="000000"/>
      <x:name val="Carlito"/>
    </x:font>
    <x:font>
      <x:b/>
      <x:sz val="11"/>
      <x:color rgb="7F1D1D"/>
      <x:name val="Carlito"/>
    </x:font>
    <x:font>
      <x:b/>
      <x:sz val="11"/>
      <x:color rgb="166534"/>
      <x:name val="Carlito"/>
    </x:font>
    <x:font>
      <x:b/>
      <x:sz val="10"/>
      <x:color rgb="111827"/>
      <x:name val="Carlito"/>
    </x:font>
    <x:font>
      <x:i/>
      <x:sz val="10"/>
      <x:color rgb="111827"/>
      <x:name val="Carlito"/>
    </x:font>
    <x:font>
      <x:sz val="10"/>
      <x:color rgb="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72033"/>
      </x:patternFill>
    </x:fill>
    <x:fill>
      <x:patternFill patternType="solid">
        <x:fgColor rgb="25324A"/>
      </x:patternFill>
    </x:fill>
    <x:fill>
      <x:patternFill patternType="solid">
        <x:fgColor rgb="FFF2CC"/>
      </x:patternFill>
    </x:fill>
    <x:fill>
      <x:patternFill patternType="solid">
        <x:fgColor rgb="FFFFFF"/>
      </x:patternFill>
    </x:fill>
    <x:fill>
      <x:patternFill patternType="solid">
        <x:fgColor rgb="6D5DFB"/>
      </x:patternFill>
    </x:fill>
    <x:fill>
      <x:patternFill patternType="solid">
        <x:fgColor rgb="EDEFF7"/>
      </x:patternFill>
    </x:fill>
    <x:fill>
      <x:patternFill patternType="solid">
        <x:fgColor rgb="FEE2E2"/>
      </x:patternFill>
    </x:fill>
    <x:fill>
      <x:patternFill patternType="solid">
        <x:fgColor rgb="DCFCE7"/>
      </x:patternFill>
    </x:fill>
  </x:fills>
  <x:borders count="1">
    <x:border/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202" fontId="4" fillId="4" borderId="0" xfId="0" applyNumberFormat="1" applyFont="1" applyFill="1" applyBorder="1" applyAlignment="1">
      <x:alignment vertical="top" wrapText="1"/>
    </x:xf>
    <x:xf numFmtId="203" fontId="4" fillId="4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202" fontId="7" fillId="5" borderId="0" xfId="0" applyNumberFormat="1" applyFont="1" applyFill="1" applyBorder="1" applyAlignment="1">
      <x:alignment vertical="top" wrapText="1"/>
    </x:xf>
    <x:xf numFmtId="201" fontId="7" fillId="5" borderId="0" xfId="0" applyNumberFormat="1" applyFont="1" applyFill="1" applyBorder="1" applyAlignment="1">
      <x:alignment vertical="top" wrapText="1"/>
    </x:xf>
    <x:xf numFmtId="203" fontId="7" fillId="5" borderId="0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2" fontId="6" fillId="4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0" fontId="6" fillId="5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201" fontId="6" fillId="5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200" fontId="6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200" fontId="10" fillId="8" borderId="0" xfId="0" applyNumberFormat="1" applyFont="1" applyFill="1" applyBorder="1" applyAlignment="1">
      <x:alignment vertical="top" wrapText="1"/>
    </x:xf>
    <x:xf numFmtId="202" fontId="6" fillId="5" borderId="0" xfId="0" applyNumberFormat="1" applyFont="1" applyFill="1" applyBorder="1" applyAlignment="1">
      <x:alignment vertical="top" wrapText="1"/>
    </x:xf>
    <x:xf numFmtId="203" fontId="6" fillId="5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202" fontId="6" fillId="7" borderId="0" xfId="0" applyNumberFormat="1" applyFont="1" applyFill="1" applyBorder="1" applyAlignment="1">
      <x:alignment vertical="top" wrapText="1"/>
    </x:xf>
    <x:xf numFmtId="203" fontId="6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202" fontId="9" fillId="7" borderId="0" xfId="0" applyNumberFormat="1" applyFont="1" applyFill="1" applyBorder="1" applyAlignment="1">
      <x:alignment vertical="top" wrapText="1"/>
    </x:xf>
    <x:xf numFmtId="203" fontId="9" fillId="7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203" fontId="5" fillId="5" borderId="0" xfId="0" applyNumberFormat="1" applyFont="1" applyFill="1" applyBorder="1" applyAlignment="1">
      <x:alignment vertical="top" wrapText="1"/>
    </x:xf>
    <x:xf numFmtId="201" fontId="5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2" fontId="5" fillId="5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horizontal="left"/>
    </x:xf>
    <x:xf numFmtId="0" fontId="14" fillId="0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vertical="top" wrapText="1"/>
    </x:xf>
    <x:xf numFmtId="202" fontId="14" fillId="5" borderId="0" xfId="0" applyNumberFormat="1" applyFont="1" applyFill="1" applyBorder="1" applyAlignment="1">
      <x:alignment vertical="top" wrapText="1"/>
    </x:xf>
    <x:xf numFmtId="200" fontId="14" fillId="5" borderId="0" xfId="0" applyNumberFormat="1" applyFont="1" applyFill="1" applyBorder="1" applyAlignment="1">
      <x:alignment vertical="top" wrapText="1"/>
    </x:xf>
    <x:xf numFmtId="201" fontId="14" fillId="5" borderId="0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/>
    <x:xf numFmtId="0" fontId="14" fillId="4" borderId="0" xfId="0" applyNumberFormat="1" applyFont="1" applyFill="1" applyBorder="1" applyAlignment="1">
      <x:alignment vertical="top" wrapText="1"/>
    </x:xf>
    <x:xf numFmtId="202" fontId="14" fillId="4" borderId="0" xfId="0" applyNumberFormat="1" applyFont="1" applyFill="1" applyBorder="1" applyAlignment="1">
      <x:alignment vertical="top" wrapText="1"/>
    </x:xf>
    <x:xf numFmtId="200" fontId="14" fillId="4" borderId="0" xfId="0" applyNumberFormat="1" applyFont="1" applyFill="1" applyBorder="1" applyAlignment="1">
      <x:alignment vertical="top" wrapText="1"/>
    </x:xf>
    <x:xf numFmtId="201" fontId="14" fillId="4" borderId="0" xfId="0" applyNumberFormat="1" applyFont="1" applyFill="1" applyBorder="1" applyAlignment="1">
      <x:alignment vertical="top" wrapText="1"/>
    </x:xf>
    <x:xf numFmtId="203" fontId="14" fillId="4" borderId="0" xfId="0" applyNumberFormat="1" applyFont="1" applyFill="1" applyBorder="1" applyAlignment="1">
      <x:alignment vertical="top" wrapText="1"/>
    </x:xf>
    <x:xf numFmtId="203" fontId="14" fillId="5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  <x:xf numFmtId="200" fontId="12" fillId="7" borderId="0" xfId="0" applyNumberFormat="1" applyFont="1" applyFill="1" applyBorder="1" applyAlignment="1">
      <x:alignment vertical="top" wrapText="1"/>
    </x:xf>
    <x:xf numFmtId="0" fontId="12" fillId="8" borderId="0" xfId="0" applyNumberFormat="1" applyFont="1" applyFill="1" applyBorder="1" applyAlignment="1">
      <x:alignment vertical="top" wrapText="1"/>
    </x:xf>
    <x:xf numFmtId="200" fontId="12" fillId="8" borderId="0" xfId="0" applyNumberFormat="1" applyFont="1" applyFill="1" applyBorder="1" applyAlignment="1">
      <x:alignment vertical="top" wrapText="1"/>
    </x:xf>
    <x:xf numFmtId="202" fontId="12" fillId="7" borderId="0" xfId="0" applyNumberFormat="1" applyFont="1" applyFill="1" applyBorder="1" applyAlignment="1">
      <x:alignment vertical="top" wrapText="1"/>
    </x:xf>
    <x:xf numFmtId="203" fontId="12" fillId="7" borderId="0" xfId="0" applyNumberFormat="1" applyFont="1" applyFill="1" applyBorder="1" applyAlignment="1">
      <x:alignment vertical="top" wrapText="1"/>
    </x:xf>
    <x:xf numFmtId="0" fontId="12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92e3f234b472c" /><Relationship Type="http://schemas.openxmlformats.org/officeDocument/2006/relationships/theme" Target="/xl/theme/theme1.xml" Id="Re0772b44c5354006" /><Relationship Type="http://schemas.openxmlformats.org/officeDocument/2006/relationships/sharedStrings" Target="/xl/sharedStrings.xml" Id="R3198cd318de442c5" /><Relationship Type="http://schemas.openxmlformats.org/officeDocument/2006/relationships/worksheet" Target="/xl/worksheets/sheet1.xml" Id="R22a3addcc98045dd" /><Relationship Type="http://schemas.openxmlformats.org/officeDocument/2006/relationships/worksheet" Target="/xl/worksheets/sheet2.xml" Id="R114b2873da8d44d5" /><Relationship Type="http://schemas.openxmlformats.org/officeDocument/2006/relationships/worksheet" Target="/xl/worksheets/sheet3.xml" Id="R99091e2f284e4d2b" /><Relationship Type="http://schemas.openxmlformats.org/officeDocument/2006/relationships/worksheet" Target="/xl/worksheets/sheet4.xml" Id="Rf777c86525564ac0" /><Relationship Type="http://schemas.openxmlformats.org/officeDocument/2006/relationships/worksheet" Target="/xl/worksheets/sheet5.xml" Id="R7a7e1f363ee5488a" /><Relationship Type="http://schemas.openxmlformats.org/officeDocument/2006/relationships/worksheet" Target="/xl/worksheets/sheet6.xml" Id="Rdbb99e75ce464533" /><Relationship Type="http://schemas.openxmlformats.org/officeDocument/2006/relationships/worksheet" Target="/xl/worksheets/sheet7.xml" Id="R03283968fb8a4c23" /><Relationship Type="http://schemas.openxmlformats.org/officeDocument/2006/relationships/worksheet" Target="/xl/worksheets/sheet8.xml" Id="R25b4b7ca40b344da" /><Relationship Type="http://schemas.openxmlformats.org/officeDocument/2006/relationships/worksheet" Target="/xl/worksheets/sheet9.xml" Id="R5abdacfde57b4d50" /><Relationship Type="http://schemas.openxmlformats.org/officeDocument/2006/relationships/worksheet" Target="/xl/worksheets/sheet10.xml" Id="Ra4010cfb42344e96" /><Relationship Type="http://schemas.openxmlformats.org/officeDocument/2006/relationships/worksheet" Target="/xl/worksheets/sheet11.xml" Id="R0aad1c41d1d042c8" /><Relationship Type="http://schemas.openxmlformats.org/officeDocument/2006/relationships/worksheet" Target="/xl/worksheets/sheet12.xml" Id="R46c03b36767f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5.380000114440918" hidden="0" customWidth="1"/>
    <x:col min="6" max="6" width="22.209999084472656" hidden="0" customWidth="1"/>
    <x:col min="7" max="7" width="19.520000457763672" hidden="0" customWidth="1"/>
    <x:col min="8" max="8" width="19.520000457763672" hidden="0" customWidth="1"/>
    <x:col min="9" max="9" width="19.520000457763672" hidden="0" customWidth="1"/>
    <x:col min="10" max="10" width="19.520000457763672" hidden="0" customWidth="1"/>
  </x:cols>
  <x:sheetData>
    <x:row r="1" ht="25.5" customHeight="1">
      <x:c r="A1" s="4" t="str">
        <x:v>PageCast Business Model Dashboard</x:v>
      </x:c>
      <x:c r="B1" s="4" t="str">
        <x:v>PageCast Business Model Dashboard</x:v>
      </x:c>
      <x:c r="C1" s="4" t="str">
        <x:v>PageCast Business Model Dashboard</x:v>
      </x:c>
      <x:c r="D1" s="4" t="str">
        <x:v>PageCast Business Model Dashboard</x:v>
      </x:c>
      <x:c r="E1" s="4" t="str">
        <x:v>PageCast Business Model Dashboard</x:v>
      </x:c>
      <x:c r="F1" s="4" t="str">
        <x:v>PageCast Business Model Dashboard</x:v>
      </x:c>
      <x:c r="G1" s="4" t="str">
        <x:v>PageCast Business Model Dashboard</x:v>
      </x:c>
      <x:c r="H1" s="4" t="str">
        <x:v>PageCast Business Model Dashboard</x:v>
      </x:c>
      <x:c r="I1" s="4" t="str">
        <x:v>PageCast Business Model Dashboard</x:v>
      </x:c>
      <x:c r="J1" s="4" t="str">
        <x:v>PageCast Business Model Dashboard</x:v>
      </x:c>
    </x:row>
    <x:row r="2" ht="16.5" customHeight="1">
      <x:c r="A2" s="64" t="str">
        <x:v>Cinematic read-and-listen story platform | Base model with editable assumptions and scenarios.</x:v>
      </x:c>
      <x:c r="B2" s="64" t="str">
        <x:v>Cinematic read-and-listen story platform | Base model with editable assumptions and scenarios.</x:v>
      </x:c>
      <x:c r="C2" s="64" t="str">
        <x:v>Cinematic read-and-listen story platform | Base model with editable assumptions and scenarios.</x:v>
      </x:c>
      <x:c r="D2" s="64" t="str">
        <x:v>Cinematic read-and-listen story platform | Base model with editable assumptions and scenarios.</x:v>
      </x:c>
      <x:c r="E2" s="64" t="str">
        <x:v>Cinematic read-and-listen story platform | Base model with editable assumptions and scenarios.</x:v>
      </x:c>
      <x:c r="F2" s="64" t="str">
        <x:v>Cinematic read-and-listen story platform | Base model with editable assumptions and scenarios.</x:v>
      </x:c>
      <x:c r="G2" s="64" t="str">
        <x:v>Cinematic read-and-listen story platform | Base model with editable assumptions and scenarios.</x:v>
      </x:c>
      <x:c r="H2" s="64" t="str">
        <x:v>Cinematic read-and-listen story platform | Base model with editable assumptions and scenarios.</x:v>
      </x:c>
      <x:c r="I2" s="65"/>
      <x:c r="J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</x:row>
    <x:row r="4">
      <x:c r="A4" s="66" t="str">
        <x:v>KPI</x:v>
      </x:c>
      <x:c r="B4" s="66" t="n">
        <x:v>2026</x:v>
      </x:c>
      <x:c r="C4" s="66" t="n">
        <x:v>2027</x:v>
      </x:c>
      <x:c r="D4" s="66" t="n">
        <x:v>2028</x:v>
      </x:c>
      <x:c r="E4" s="65"/>
      <x:c r="F4" s="66" t="str">
        <x:v>Strategic Lens</x:v>
      </x:c>
      <x:c r="G4" s="66" t="str">
        <x:v>PageCast Answer</x:v>
      </x:c>
      <x:c r="H4" s="66" t="str"/>
      <x:c r="I4" s="66" t="str"/>
      <x:c r="J4" s="66" t="str"/>
    </x:row>
    <x:row r="5">
      <x:c r="A5" s="67" t="str">
        <x:v>Active readers</x:v>
      </x:c>
      <x:c r="B5" s="68" t="n">
        <x:f>'Revenue Model'!B5</x:f>
        <x:v>5000</x:v>
      </x:c>
      <x:c r="C5" s="68" t="n">
        <x:f>'Revenue Model'!C5</x:f>
        <x:v>35000</x:v>
      </x:c>
      <x:c r="D5" s="68" t="n">
        <x:f>'Revenue Model'!D5</x:f>
        <x:v>150000</x:v>
      </x:c>
      <x:c r="E5" s="65"/>
      <x:c r="F5" s="67" t="str">
        <x:v>Launch wedge</x:v>
      </x:c>
      <x:c r="G5" s="67" t="str">
        <x:v>Children's Islamic stories, bedtime/moral stories, language learning</x:v>
      </x:c>
      <x:c r="H5" s="67" t="str"/>
      <x:c r="I5" s="67" t="str"/>
      <x:c r="J5" s="67" t="str"/>
    </x:row>
    <x:row r="6">
      <x:c r="A6" s="67" t="str">
        <x:v>Paid readers</x:v>
      </x:c>
      <x:c r="B6" s="68" t="n">
        <x:f>'Revenue Model'!B7</x:f>
        <x:v>200</x:v>
      </x:c>
      <x:c r="C6" s="68" t="n">
        <x:f>'Revenue Model'!C7</x:f>
        <x:v>2450.0000000000005</x:v>
      </x:c>
      <x:c r="D6" s="68" t="n">
        <x:f>'Revenue Model'!D7</x:f>
        <x:v>15000</x:v>
      </x:c>
      <x:c r="E6" s="65"/>
      <x:c r="F6" s="67" t="str">
        <x:v>Primary buyer</x:v>
      </x:c>
      <x:c r="G6" s="67" t="str">
        <x:v>Parents first; teachers and faith educators second</x:v>
      </x:c>
      <x:c r="H6" s="67" t="str"/>
      <x:c r="I6" s="67" t="str"/>
      <x:c r="J6" s="67" t="str"/>
    </x:row>
    <x:row r="7">
      <x:c r="A7" s="67" t="str">
        <x:v>Gross billings</x:v>
      </x:c>
      <x:c r="B7" s="69" t="n">
        <x:f>'Revenue Model'!B22</x:f>
        <x:v>11913.6</x:v>
      </x:c>
      <x:c r="C7" s="69" t="n">
        <x:f>'Revenue Model'!C22</x:f>
        <x:v>146700.5</x:v>
      </x:c>
      <x:c r="D7" s="69" t="n">
        <x:f>'Revenue Model'!D22</x:f>
        <x:v>1024440</x:v>
      </x:c>
      <x:c r="E7" s="65"/>
      <x:c r="F7" s="67" t="str">
        <x:v>Revenue model</x:v>
      </x:c>
      <x:c r="G7" s="67" t="str">
        <x:v>Story unlocks now; subscription and Creator Pro after catalog depth</x:v>
      </x:c>
      <x:c r="H7" s="67" t="str"/>
      <x:c r="I7" s="67" t="str"/>
      <x:c r="J7" s="67" t="str"/>
    </x:row>
    <x:row r="8">
      <x:c r="A8" s="67" t="str">
        <x:v>Gross profit</x:v>
      </x:c>
      <x:c r="B8" s="69" t="n">
        <x:f>'Costs &amp; COGS'!B11</x:f>
        <x:v>9311.472</x:v>
      </x:c>
      <x:c r="C8" s="69" t="n">
        <x:f>'Costs &amp; COGS'!C11</x:f>
        <x:v>110033.535</x:v>
      </x:c>
      <x:c r="D8" s="69" t="n">
        <x:f>'Costs &amp; COGS'!D11</x:f>
        <x:v>747622.8</x:v>
      </x:c>
      <x:c r="E8" s="65"/>
      <x:c r="F8" s="67" t="str">
        <x:v>Differentiator</x:v>
      </x:c>
      <x:c r="G8" s="67" t="str">
        <x:v>Text + character voices + atmosphere + browser commerce</x:v>
      </x:c>
      <x:c r="H8" s="67" t="str"/>
      <x:c r="I8" s="67" t="str"/>
      <x:c r="J8" s="67" t="str"/>
    </x:row>
    <x:row r="9">
      <x:c r="A9" s="67" t="str">
        <x:v>Gross margin</x:v>
      </x:c>
      <x:c r="B9" s="70" t="n">
        <x:f>'Costs &amp; COGS'!B12</x:f>
        <x:v>0.7815834004834811</x:v>
      </x:c>
      <x:c r="C9" s="70" t="n">
        <x:f>'Costs &amp; COGS'!C12</x:f>
        <x:v>0.7500556235322988</x:v>
      </x:c>
      <x:c r="D9" s="70" t="n">
        <x:f>'Costs &amp; COGS'!D12</x:f>
        <x:v>0.7297868103549257</x:v>
      </x:c>
      <x:c r="E9" s="65"/>
      <x:c r="F9" s="67" t="str">
        <x:v>Go-to-market</x:v>
      </x:c>
      <x:c r="G9" s="67" t="str">
        <x:v>Short-form demos, WhatsApp sharing, parent communities, creator pilots</x:v>
      </x:c>
      <x:c r="H9" s="67" t="str"/>
      <x:c r="I9" s="67" t="str"/>
      <x:c r="J9" s="67" t="str"/>
    </x:row>
    <x:row r="10">
      <x:c r="A10" s="67" t="str">
        <x:v>Operating expenses</x:v>
      </x:c>
      <x:c r="B10" s="69" t="n">
        <x:f>'Costs &amp; COGS'!B20</x:f>
        <x:v>90000</x:v>
      </x:c>
      <x:c r="C10" s="69" t="n">
        <x:f>'Costs &amp; COGS'!C20</x:f>
        <x:v>261000</x:v>
      </x:c>
      <x:c r="D10" s="69" t="n">
        <x:f>'Costs &amp; COGS'!D20</x:f>
        <x:v>685000</x:v>
      </x:c>
      <x:c r="E10" s="65"/>
      <x:c r="F10" s="67" t="str">
        <x:v>Catalog target</x:v>
      </x:c>
      <x:c r="G10" s="67" t="str">
        <x:v>10 strong flagship PageCasts before public launch</x:v>
      </x:c>
      <x:c r="H10" s="67" t="str"/>
      <x:c r="I10" s="67" t="str"/>
      <x:c r="J10" s="67" t="str"/>
    </x:row>
    <x:row r="11">
      <x:c r="A11" s="67" t="str">
        <x:v>EBITDA</x:v>
      </x:c>
      <x:c r="B11" s="69" t="n">
        <x:f>'Costs &amp; COGS'!B21</x:f>
        <x:v>-80688.528</x:v>
      </x:c>
      <x:c r="C11" s="69" t="n">
        <x:f>'Costs &amp; COGS'!C21</x:f>
        <x:v>-150966.465</x:v>
      </x:c>
      <x:c r="D11" s="69" t="n">
        <x:f>'Costs &amp; COGS'!D21</x:f>
        <x:v>62622.80000000005</x:v>
      </x:c>
      <x:c r="E11" s="65"/>
      <x:c r="F11" s="67" t="str">
        <x:v>Main risk</x:v>
      </x:c>
      <x:c r="G11" s="67" t="str">
        <x:v>Cold-start catalog and trust around child safety, copyright, and AI voice disclosure</x:v>
      </x:c>
      <x:c r="H11" s="67" t="str"/>
      <x:c r="I11" s="67" t="str"/>
      <x:c r="J11" s="67" t="str"/>
    </x:row>
    <x:row r="12">
      <x:c r="A12" s="67" t="str">
        <x:v>Ending cash</x:v>
      </x:c>
      <x:c r="B12" s="69" t="n">
        <x:f>'Costs &amp; COGS'!B24</x:f>
        <x:v>-55688.528000000006</x:v>
      </x:c>
      <x:c r="C12" s="69" t="n">
        <x:f>'Costs &amp; COGS'!C24</x:f>
        <x:v>-206654.99300000002</x:v>
      </x:c>
      <x:c r="D12" s="69" t="n">
        <x:f>'Costs &amp; COGS'!D24</x:f>
        <x:v>-144032.19299999997</x:v>
      </x:c>
      <x:c r="E12" s="65"/>
      <x:c r="F12" s="67" t="str">
        <x:f>'Checks'!E11</x:f>
        <x:v>OK</x:v>
      </x:c>
      <x:c r="G12" s="67" t="str"/>
      <x:c r="H12" s="67" t="str"/>
      <x:c r="I12" s="67" t="str"/>
      <x:c r="J12" s="67" t="str"/>
    </x:row>
    <x:row r="13">
      <x:c r="A13" s="67" t="str">
        <x:v>Funding required</x:v>
      </x:c>
      <x:c r="B13" s="69" t="n">
        <x:f>'Costs &amp; COGS'!B25</x:f>
        <x:v>55688.528000000006</x:v>
      </x:c>
      <x:c r="C13" s="69" t="n">
        <x:f>'Costs &amp; COGS'!C25</x:f>
        <x:v>206654.99300000002</x:v>
      </x:c>
      <x:c r="D13" s="69" t="n">
        <x:f>'Costs &amp; COGS'!D25</x:f>
        <x:v>144032.19299999997</x:v>
      </x:c>
      <x:c r="E13" s="65"/>
      <x:c r="F13" s="65"/>
      <x:c r="G13" s="65"/>
      <x:c r="H13" s="65"/>
      <x:c r="I13" s="65"/>
      <x:c r="J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</x:row>
    <x:row r="16">
      <x:c r="A16" s="66" t="str">
        <x:v>Revenue Mix</x:v>
      </x:c>
      <x:c r="B16" s="66" t="n">
        <x:v>2026</x:v>
      </x:c>
      <x:c r="C16" s="66" t="n">
        <x:v>2027</x:v>
      </x:c>
      <x:c r="D16" s="66" t="n">
        <x:v>2028</x:v>
      </x:c>
      <x:c r="E16" s="65"/>
      <x:c r="F16" s="66" t="str">
        <x:v>Year</x:v>
      </x:c>
      <x:c r="G16" s="66" t="str">
        <x:v>Revenue</x:v>
      </x:c>
      <x:c r="H16" s="66" t="str">
        <x:v>Gross Profit</x:v>
      </x:c>
      <x:c r="I16" s="66" t="str">
        <x:v>EBITDA</x:v>
      </x:c>
      <x:c r="J16" s="66" t="str">
        <x:v>Ending Cash</x:v>
      </x:c>
    </x:row>
    <x:row r="17">
      <x:c r="A17" s="67" t="str">
        <x:v>Story unlocks</x:v>
      </x:c>
      <x:c r="B17" s="69" t="n">
        <x:f>'Revenue Model'!B10</x:f>
        <x:v>1755.6000000000004</x:v>
      </x:c>
      <x:c r="C17" s="69" t="n">
        <x:f>'Revenue Model'!C10</x:f>
        <x:v>29326.500000000007</x:v>
      </x:c>
      <x:c r="D17" s="69" t="n">
        <x:f>'Revenue Model'!D10</x:f>
        <x:v>239400</x:v>
      </x:c>
      <x:c r="E17" s="65"/>
      <x:c r="F17" s="67" t="n">
        <x:v>2026</x:v>
      </x:c>
      <x:c r="G17" s="69" t="n">
        <x:f>'Revenue Model'!B22</x:f>
        <x:v>11913.6</x:v>
      </x:c>
      <x:c r="H17" s="69" t="n">
        <x:f>'Costs &amp; COGS'!B11</x:f>
        <x:v>9311.472</x:v>
      </x:c>
      <x:c r="I17" s="69" t="n">
        <x:f>'Costs &amp; COGS'!B21</x:f>
        <x:v>-80688.528</x:v>
      </x:c>
      <x:c r="J17" s="69" t="n">
        <x:f>'Costs &amp; COGS'!B24</x:f>
        <x:v>-55688.528000000006</x:v>
      </x:c>
    </x:row>
    <x:row r="18">
      <x:c r="A18" s="67" t="str">
        <x:v>Family subscription</x:v>
      </x:c>
      <x:c r="B18" s="69" t="n">
        <x:f>'Revenue Model'!B13</x:f>
        <x:v>7188</x:v>
      </x:c>
      <x:c r="C18" s="69" t="n">
        <x:f>'Revenue Model'!C13</x:f>
        <x:v>86256</x:v>
      </x:c>
      <x:c r="D18" s="69" t="n">
        <x:f>'Revenue Model'!D13</x:f>
        <x:v>575040</x:v>
      </x:c>
      <x:c r="E18" s="65"/>
      <x:c r="F18" s="67" t="n">
        <x:v>2027</x:v>
      </x:c>
      <x:c r="G18" s="69" t="n">
        <x:f>'Revenue Model'!C22</x:f>
        <x:v>146700.5</x:v>
      </x:c>
      <x:c r="H18" s="69" t="n">
        <x:f>'Costs &amp; COGS'!C11</x:f>
        <x:v>110033.535</x:v>
      </x:c>
      <x:c r="I18" s="69" t="n">
        <x:f>'Costs &amp; COGS'!C21</x:f>
        <x:v>-150966.465</x:v>
      </x:c>
      <x:c r="J18" s="69" t="n">
        <x:f>'Costs &amp; COGS'!C24</x:f>
        <x:v>-206654.99300000002</x:v>
      </x:c>
    </x:row>
    <x:row r="19">
      <x:c r="A19" s="67" t="str">
        <x:v>Creator + education + tools</x:v>
      </x:c>
      <x:c r="B19" s="69" t="n">
        <x:f>SUM('Revenue Model'!B17,'Revenue Model'!B20,'Revenue Model'!B21)</x:f>
        <x:v>2970</x:v>
      </x:c>
      <x:c r="C19" s="69" t="n">
        <x:f>SUM('Revenue Model'!C17,'Revenue Model'!C20,'Revenue Model'!C21)</x:f>
        <x:v>31118</x:v>
      </x:c>
      <x:c r="D19" s="69" t="n">
        <x:f>SUM('Revenue Model'!D17,'Revenue Model'!D20,'Revenue Model'!D21)</x:f>
        <x:v>210000</x:v>
      </x:c>
      <x:c r="E19" s="65"/>
      <x:c r="F19" s="67" t="n">
        <x:v>2028</x:v>
      </x:c>
      <x:c r="G19" s="69" t="n">
        <x:f>'Revenue Model'!D22</x:f>
        <x:v>1024440</x:v>
      </x:c>
      <x:c r="H19" s="69" t="n">
        <x:f>'Costs &amp; COGS'!D11</x:f>
        <x:v>747622.8</x:v>
      </x:c>
      <x:c r="I19" s="69" t="n">
        <x:f>'Costs &amp; COGS'!D21</x:f>
        <x:v>62622.80000000005</x:v>
      </x:c>
      <x:c r="J19" s="69" t="n">
        <x:f>'Costs &amp; COGS'!D24</x:f>
        <x:v>-144032.19299999997</x:v>
      </x:c>
    </x:row>
    <x:row r="20">
      <x:c r="A20" s="65"/>
      <x:c r="B20" s="65"/>
      <x:c r="C20" s="65"/>
      <x:c r="D20" s="65"/>
      <x:c r="E20" s="65"/>
      <x:c r="F20" s="65" t="str"/>
      <x:c r="G20" s="65" t="str"/>
      <x:c r="H20" s="65" t="str"/>
      <x:c r="I20" s="65" t="str"/>
      <x:c r="J20" s="65" t="str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</x:row>
    <x:row r="22">
      <x:c r="A22" s="66" t="str">
        <x:v>Revenue Mix Chart Data</x:v>
      </x:c>
      <x:c r="B22" s="66" t="n">
        <x:v>2026</x:v>
      </x:c>
      <x:c r="C22" s="66" t="n">
        <x:v>2027</x:v>
      </x:c>
      <x:c r="D22" s="66" t="n">
        <x:v>2028</x:v>
      </x:c>
      <x:c r="E22" s="65"/>
      <x:c r="F22" s="66" t="str">
        <x:v>Trend Chart Data</x:v>
      </x:c>
      <x:c r="G22" s="66" t="str">
        <x:v>Revenue</x:v>
      </x:c>
      <x:c r="H22" s="66" t="str">
        <x:v>Gross Profit</x:v>
      </x:c>
      <x:c r="I22" s="66" t="str">
        <x:v>EBITDA</x:v>
      </x:c>
      <x:c r="J22" s="66" t="str">
        <x:v>Ending Cash</x:v>
      </x:c>
    </x:row>
    <x:row r="23">
      <x:c r="A23" s="67" t="str">
        <x:f>A17</x:f>
        <x:v>Story unlocks</x:v>
      </x:c>
      <x:c r="B23" s="69" t="n">
        <x:f>B17</x:f>
        <x:v>1755.6000000000004</x:v>
      </x:c>
      <x:c r="C23" s="69" t="n">
        <x:f>C17</x:f>
        <x:v>29326.500000000007</x:v>
      </x:c>
      <x:c r="D23" s="69" t="n">
        <x:f>D17</x:f>
        <x:v>239400</x:v>
      </x:c>
      <x:c r="E23" s="65"/>
      <x:c r="F23" s="67" t="n">
        <x:f>F17</x:f>
        <x:v>2026</x:v>
      </x:c>
      <x:c r="G23" s="69" t="n">
        <x:f>G17</x:f>
        <x:v>11913.6</x:v>
      </x:c>
      <x:c r="H23" s="69" t="n">
        <x:f>H17</x:f>
        <x:v>9311.472</x:v>
      </x:c>
      <x:c r="I23" s="69" t="n">
        <x:f>I17</x:f>
        <x:v>-80688.528</x:v>
      </x:c>
      <x:c r="J23" s="69" t="n">
        <x:f>J17</x:f>
        <x:v>-55688.528000000006</x:v>
      </x:c>
    </x:row>
    <x:row r="24">
      <x:c r="A24" s="67" t="str">
        <x:f>A18</x:f>
        <x:v>Family subscription</x:v>
      </x:c>
      <x:c r="B24" s="69" t="n">
        <x:f>B18</x:f>
        <x:v>7188</x:v>
      </x:c>
      <x:c r="C24" s="69" t="n">
        <x:f>C18</x:f>
        <x:v>86256</x:v>
      </x:c>
      <x:c r="D24" s="69" t="n">
        <x:f>D18</x:f>
        <x:v>575040</x:v>
      </x:c>
      <x:c r="E24" s="65"/>
      <x:c r="F24" s="67" t="n">
        <x:f>F18</x:f>
        <x:v>2027</x:v>
      </x:c>
      <x:c r="G24" s="69" t="n">
        <x:f>G18</x:f>
        <x:v>146700.5</x:v>
      </x:c>
      <x:c r="H24" s="69" t="n">
        <x:f>H18</x:f>
        <x:v>110033.535</x:v>
      </x:c>
      <x:c r="I24" s="69" t="n">
        <x:f>I18</x:f>
        <x:v>-150966.465</x:v>
      </x:c>
      <x:c r="J24" s="69" t="n">
        <x:f>J18</x:f>
        <x:v>-206654.99300000002</x:v>
      </x:c>
    </x:row>
    <x:row r="25">
      <x:c r="A25" s="67" t="str">
        <x:f>A19</x:f>
        <x:v>Creator + education + tools</x:v>
      </x:c>
      <x:c r="B25" s="69" t="n">
        <x:f>B19</x:f>
        <x:v>2970</x:v>
      </x:c>
      <x:c r="C25" s="69" t="n">
        <x:f>C19</x:f>
        <x:v>31118</x:v>
      </x:c>
      <x:c r="D25" s="69" t="n">
        <x:f>D19</x:f>
        <x:v>210000</x:v>
      </x:c>
      <x:c r="E25" s="65"/>
      <x:c r="F25" s="67" t="n">
        <x:f>F19</x:f>
        <x:v>2028</x:v>
      </x:c>
      <x:c r="G25" s="69" t="n">
        <x:f>G19</x:f>
        <x:v>1024440</x:v>
      </x:c>
      <x:c r="H25" s="69" t="n">
        <x:f>H19</x:f>
        <x:v>747622.8</x:v>
      </x:c>
      <x:c r="I25" s="69" t="n">
        <x:f>I19</x:f>
        <x:v>62622.80000000005</x:v>
      </x:c>
      <x:c r="J25" s="69" t="n">
        <x:f>J19</x:f>
        <x:v>-144032.19299999997</x:v>
      </x:c>
    </x:row>
  </x:sheetData>
  <x:mergeCells>
    <x:mergeCell ref="A1:J1"/>
    <x:mergeCell ref="A2:H2"/>
    <x:mergeCell ref="F5:J5"/>
    <x:mergeCell ref="F6:J6"/>
    <x:mergeCell ref="F7:J7"/>
    <x:mergeCell ref="F8:J8"/>
    <x:mergeCell ref="F9:J9"/>
    <x:mergeCell ref="F10:J10"/>
    <x:mergeCell ref="F11:J11"/>
    <x:mergeCell ref="F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7.59000015258789" hidden="0" customWidth="1"/>
    <x:col min="3" max="3" width="27.59000015258789" hidden="0" customWidth="1"/>
    <x:col min="4" max="4" width="27.59000015258789" hidden="0" customWidth="1"/>
    <x:col min="5" max="5" width="27.59000015258789" hidden="0" customWidth="1"/>
  </x:cols>
  <x:sheetData>
    <x:row r="1" ht="25.5" customHeight="1">
      <x:c r="A1" s="4" t="str">
        <x:v>PageCast Business Model Canvas</x:v>
      </x:c>
      <x:c r="B1" s="4" t="str">
        <x:v>PageCast Business Model Canvas</x:v>
      </x:c>
      <x:c r="C1" s="4" t="str">
        <x:v>PageCast Business Model Canvas</x:v>
      </x:c>
      <x:c r="D1" s="4" t="str">
        <x:v>PageCast Business Model Canvas</x:v>
      </x:c>
      <x:c r="E1" s="4" t="str">
        <x:v>PageCast Business Model Canvas</x:v>
      </x:c>
      <x:c r="F1" s="72"/>
      <x:c r="G1" s="72"/>
      <x:c r="H1" s="72"/>
      <x:c r="I1" s="72"/>
      <x:c r="J1" s="72"/>
    </x:row>
    <x:row r="2" ht="16.5" customHeight="1">
      <x:c r="A2" s="64" t="str">
        <x:v>A complete operating model view for launch planning and investor conversations.</x:v>
      </x:c>
      <x:c r="B2" s="64" t="str">
        <x:v>A complete operating model view for launch planning and investor conversations.</x:v>
      </x:c>
      <x:c r="C2" s="64" t="str">
        <x:v>A complete operating model view for launch planning and investor conversations.</x:v>
      </x:c>
      <x:c r="D2" s="64" t="str">
        <x:v>A complete operating model view for launch planning and investor conversations.</x:v>
      </x:c>
      <x:c r="E2" s="64" t="str">
        <x:v>A complete operating model view for launch planning and investor conversations.</x:v>
      </x:c>
      <x:c r="F2" s="64" t="str">
        <x:v>A complete operating model view for launch planning and investor conversations.</x:v>
      </x:c>
      <x:c r="G2" s="64" t="str">
        <x:v>A complete operating model view for launch planning and investor conversations.</x:v>
      </x:c>
      <x:c r="H2" s="64" t="str">
        <x:v>A complete operating model view for launch planning and investor conversations.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71" t="str">
        <x:v>Customer Segments</x:v>
      </x:c>
      <x:c r="B4" s="71" t="str">
        <x:v>Customer Segments</x:v>
      </x:c>
      <x:c r="C4" s="65"/>
      <x:c r="D4" s="71" t="str">
        <x:v>Value Proposition</x:v>
      </x:c>
      <x:c r="E4" s="71" t="str">
        <x:v>Value Proposition</x:v>
      </x:c>
      <x:c r="F4" s="65"/>
      <x:c r="G4" s="65"/>
      <x:c r="H4" s="65"/>
    </x:row>
    <x:row r="5" ht="61.5" customHeight="1">
      <x:c r="A5" s="67" t="str">
        <x:v>Parents of children 5-10
Islamic / values-based family content buyers
Language learners
Teachers and homeschool groups
Indie authors and educators</x:v>
      </x:c>
      <x:c r="B5" s="67" t="str">
        <x:v>Parents of children 5-10
Islamic / values-based family content buyers
Language learners
Teachers and homeschool groups
Indie authors and educators</x:v>
      </x:c>
      <x:c r="C5" s="65"/>
      <x:c r="D5" s="67" t="str">
        <x:v>Read + listen in one browser story
Character voices, music, SFX, atmosphere
No app or hardware needed
Creator studio lowers audio-story production cost
Faith-friendly and family-safe launch wedge</x:v>
      </x:c>
      <x:c r="E5" s="67" t="str">
        <x:v>Read + listen in one browser story
Character voices, music, SFX, atmosphere
No app or hardware needed
Creator studio lowers audio-story production cost
Faith-friendly and family-safe launch wedge</x:v>
      </x:c>
      <x:c r="F5" s="65"/>
      <x:c r="G5" s="65"/>
      <x:c r="H5" s="65"/>
    </x:row>
    <x:row r="6" ht="61.5" customHeight="1">
      <x:c r="A6" s="67" t="str">
        <x:v>Parents of children 5-10
Islamic / values-based family content buyers
Language learners
Teachers and homeschool groups
Indie authors and educators</x:v>
      </x:c>
      <x:c r="B6" s="67" t="str">
        <x:v>Parents of children 5-10
Islamic / values-based family content buyers
Language learners
Teachers and homeschool groups
Indie authors and educators</x:v>
      </x:c>
      <x:c r="C6" s="65"/>
      <x:c r="D6" s="67" t="str">
        <x:v>Read + listen in one browser story
Character voices, music, SFX, atmosphere
No app or hardware needed
Creator studio lowers audio-story production cost
Faith-friendly and family-safe launch wedge</x:v>
      </x:c>
      <x:c r="E6" s="67" t="str">
        <x:v>Read + listen in one browser story
Character voices, music, SFX, atmosphere
No app or hardware needed
Creator studio lowers audio-story production cost
Faith-friendly and family-safe launch wedge</x:v>
      </x:c>
      <x:c r="F6" s="65"/>
      <x:c r="G6" s="65"/>
      <x:c r="H6" s="65"/>
    </x:row>
    <x:row r="7" ht="61.5" customHeight="1">
      <x:c r="A7" s="67" t="str">
        <x:v>Parents of children 5-10
Islamic / values-based family content buyers
Language learners
Teachers and homeschool groups
Indie authors and educators</x:v>
      </x:c>
      <x:c r="B7" s="67" t="str">
        <x:v>Parents of children 5-10
Islamic / values-based family content buyers
Language learners
Teachers and homeschool groups
Indie authors and educators</x:v>
      </x:c>
      <x:c r="C7" s="65"/>
      <x:c r="D7" s="67" t="str">
        <x:v>Read + listen in one browser story
Character voices, music, SFX, atmosphere
No app or hardware needed
Creator studio lowers audio-story production cost
Faith-friendly and family-safe launch wedge</x:v>
      </x:c>
      <x:c r="E7" s="67" t="str">
        <x:v>Read + listen in one browser story
Character voices, music, SFX, atmosphere
No app or hardware needed
Creator studio lowers audio-story production cost
Faith-friendly and family-safe launch wedge</x:v>
      </x:c>
      <x:c r="F7" s="65"/>
      <x:c r="G7" s="65"/>
      <x:c r="H7" s="65"/>
    </x:row>
    <x:row r="8" ht="61.5" customHeight="1">
      <x:c r="A8" s="67" t="str">
        <x:v>Parents of children 5-10
Islamic / values-based family content buyers
Language learners
Teachers and homeschool groups
Indie authors and educators</x:v>
      </x:c>
      <x:c r="B8" s="67" t="str">
        <x:v>Parents of children 5-10
Islamic / values-based family content buyers
Language learners
Teachers and homeschool groups
Indie authors and educators</x:v>
      </x:c>
      <x:c r="C8" s="65"/>
      <x:c r="D8" s="67" t="str">
        <x:v>Read + listen in one browser story
Character voices, music, SFX, atmosphere
No app or hardware needed
Creator studio lowers audio-story production cost
Faith-friendly and family-safe launch wedge</x:v>
      </x:c>
      <x:c r="E8" s="67" t="str">
        <x:v>Read + listen in one browser story
Character voices, music, SFX, atmosphere
No app or hardware needed
Creator studio lowers audio-story production cost
Faith-friendly and family-safe launch wedge</x:v>
      </x:c>
      <x:c r="F8" s="65"/>
      <x:c r="G8" s="65"/>
      <x:c r="H8" s="65"/>
    </x:row>
    <x:row r="9">
      <x:c r="A9" s="71" t="str">
        <x:v>Channels</x:v>
      </x:c>
      <x:c r="B9" s="71" t="str">
        <x:v>Channels</x:v>
      </x:c>
      <x:c r="C9" s="65"/>
      <x:c r="D9" s="71" t="str">
        <x:v>Customer Relationships</x:v>
      </x:c>
      <x:c r="E9" s="71" t="str">
        <x:v>Customer Relationships</x:v>
      </x:c>
      <x:c r="F9" s="65"/>
      <x:c r="G9" s="65"/>
      <x:c r="H9" s="65"/>
    </x:row>
    <x:row r="10" ht="61.5" customHeight="1">
      <x:c r="A10" s="67" t="str">
        <x:v>TikTok/Reels demos
WhatsApp sharing
Parent and Islamic communities
Teacher/homeschool outreach
Creator and author communities
SEO story samples</x:v>
      </x:c>
      <x:c r="B10" s="67" t="str">
        <x:v>TikTok/Reels demos
WhatsApp sharing
Parent and Islamic communities
Teacher/homeschool outreach
Creator and author communities
SEO story samples</x:v>
      </x:c>
      <x:c r="C10" s="65"/>
      <x:c r="D10" s="67" t="str">
        <x:v>First story free
Email/WhatsApp nurture
Parent/teacher beta feedback
Creator onboarding and templates
Rights/compliance trust signals</x:v>
      </x:c>
      <x:c r="E10" s="67" t="str">
        <x:v>First story free
Email/WhatsApp nurture
Parent/teacher beta feedback
Creator onboarding and templates
Rights/compliance trust signals</x:v>
      </x:c>
      <x:c r="F10" s="65"/>
      <x:c r="G10" s="65"/>
      <x:c r="H10" s="65"/>
    </x:row>
    <x:row r="11" ht="61.5" customHeight="1">
      <x:c r="A11" s="67" t="str">
        <x:v>TikTok/Reels demos
WhatsApp sharing
Parent and Islamic communities
Teacher/homeschool outreach
Creator and author communities
SEO story samples</x:v>
      </x:c>
      <x:c r="B11" s="67" t="str">
        <x:v>TikTok/Reels demos
WhatsApp sharing
Parent and Islamic communities
Teacher/homeschool outreach
Creator and author communities
SEO story samples</x:v>
      </x:c>
      <x:c r="C11" s="65"/>
      <x:c r="D11" s="67" t="str">
        <x:v>First story free
Email/WhatsApp nurture
Parent/teacher beta feedback
Creator onboarding and templates
Rights/compliance trust signals</x:v>
      </x:c>
      <x:c r="E11" s="67" t="str">
        <x:v>First story free
Email/WhatsApp nurture
Parent/teacher beta feedback
Creator onboarding and templates
Rights/compliance trust signals</x:v>
      </x:c>
      <x:c r="F11" s="65"/>
      <x:c r="G11" s="65"/>
      <x:c r="H11" s="65"/>
    </x:row>
    <x:row r="12" ht="61.5" customHeight="1">
      <x:c r="A12" s="67" t="str">
        <x:v>TikTok/Reels demos
WhatsApp sharing
Parent and Islamic communities
Teacher/homeschool outreach
Creator and author communities
SEO story samples</x:v>
      </x:c>
      <x:c r="B12" s="67" t="str">
        <x:v>TikTok/Reels demos
WhatsApp sharing
Parent and Islamic communities
Teacher/homeschool outreach
Creator and author communities
SEO story samples</x:v>
      </x:c>
      <x:c r="C12" s="65"/>
      <x:c r="D12" s="67" t="str">
        <x:v>First story free
Email/WhatsApp nurture
Parent/teacher beta feedback
Creator onboarding and templates
Rights/compliance trust signals</x:v>
      </x:c>
      <x:c r="E12" s="67" t="str">
        <x:v>First story free
Email/WhatsApp nurture
Parent/teacher beta feedback
Creator onboarding and templates
Rights/compliance trust signals</x:v>
      </x:c>
      <x:c r="F12" s="65"/>
      <x:c r="G12" s="65"/>
      <x:c r="H12" s="65"/>
    </x:row>
    <x:row r="13" ht="61.5" customHeight="1">
      <x:c r="A13" s="67" t="str">
        <x:v>TikTok/Reels demos
WhatsApp sharing
Parent and Islamic communities
Teacher/homeschool outreach
Creator and author communities
SEO story samples</x:v>
      </x:c>
      <x:c r="B13" s="67" t="str">
        <x:v>TikTok/Reels demos
WhatsApp sharing
Parent and Islamic communities
Teacher/homeschool outreach
Creator and author communities
SEO story samples</x:v>
      </x:c>
      <x:c r="C13" s="65"/>
      <x:c r="D13" s="67" t="str">
        <x:v>First story free
Email/WhatsApp nurture
Parent/teacher beta feedback
Creator onboarding and templates
Rights/compliance trust signals</x:v>
      </x:c>
      <x:c r="E13" s="67" t="str">
        <x:v>First story free
Email/WhatsApp nurture
Parent/teacher beta feedback
Creator onboarding and templates
Rights/compliance trust signals</x:v>
      </x:c>
      <x:c r="F13" s="65"/>
      <x:c r="G13" s="65"/>
      <x:c r="H13" s="65"/>
    </x:row>
    <x:row r="14">
      <x:c r="A14" s="71" t="str">
        <x:v>Revenue Streams</x:v>
      </x:c>
      <x:c r="B14" s="71" t="str">
        <x:v>Revenue Streams</x:v>
      </x:c>
      <x:c r="C14" s="65"/>
      <x:c r="D14" s="71" t="str">
        <x:v>Key Resources</x:v>
      </x:c>
      <x:c r="E14" s="71" t="str">
        <x:v>Key Resources</x:v>
      </x:c>
      <x:c r="F14" s="65"/>
      <x:c r="G14" s="65"/>
      <x:c r="H14" s="65"/>
    </x:row>
    <x:row r="15" ht="61.5" customHeight="1">
      <x:c r="A15" s="67" t="str">
        <x:v>Story unlocks
Family subscription
Creator Pro studio plan
Education/faith bundles
Marketplace audio tools and premium assets</x:v>
      </x:c>
      <x:c r="B15" s="67" t="str">
        <x:v>Story unlocks
Family subscription
Creator Pro studio plan
Education/faith bundles
Marketplace audio tools and premium assets</x:v>
      </x:c>
      <x:c r="C15" s="65"/>
      <x:c r="D15" s="67" t="str">
        <x:v>Reader app
Creator Studio
PBF story format
Launch catalog
Compliance workflows
Creator/audio asset library</x:v>
      </x:c>
      <x:c r="E15" s="67" t="str">
        <x:v>Reader app
Creator Studio
PBF story format
Launch catalog
Compliance workflows
Creator/audio asset library</x:v>
      </x:c>
      <x:c r="F15" s="65"/>
      <x:c r="G15" s="65"/>
      <x:c r="H15" s="65"/>
    </x:row>
    <x:row r="16" ht="61.5" customHeight="1">
      <x:c r="A16" s="67" t="str">
        <x:v>Story unlocks
Family subscription
Creator Pro studio plan
Education/faith bundles
Marketplace audio tools and premium assets</x:v>
      </x:c>
      <x:c r="B16" s="67" t="str">
        <x:v>Story unlocks
Family subscription
Creator Pro studio plan
Education/faith bundles
Marketplace audio tools and premium assets</x:v>
      </x:c>
      <x:c r="C16" s="65"/>
      <x:c r="D16" s="67" t="str">
        <x:v>Reader app
Creator Studio
PBF story format
Launch catalog
Compliance workflows
Creator/audio asset library</x:v>
      </x:c>
      <x:c r="E16" s="67" t="str">
        <x:v>Reader app
Creator Studio
PBF story format
Launch catalog
Compliance workflows
Creator/audio asset library</x:v>
      </x:c>
      <x:c r="F16" s="65"/>
      <x:c r="G16" s="65"/>
      <x:c r="H16" s="65"/>
    </x:row>
    <x:row r="17" ht="61.5" customHeight="1">
      <x:c r="A17" s="67" t="str">
        <x:v>Story unlocks
Family subscription
Creator Pro studio plan
Education/faith bundles
Marketplace audio tools and premium assets</x:v>
      </x:c>
      <x:c r="B17" s="67" t="str">
        <x:v>Story unlocks
Family subscription
Creator Pro studio plan
Education/faith bundles
Marketplace audio tools and premium assets</x:v>
      </x:c>
      <x:c r="C17" s="65"/>
      <x:c r="D17" s="67" t="str">
        <x:v>Reader app
Creator Studio
PBF story format
Launch catalog
Compliance workflows
Creator/audio asset library</x:v>
      </x:c>
      <x:c r="E17" s="67" t="str">
        <x:v>Reader app
Creator Studio
PBF story format
Launch catalog
Compliance workflows
Creator/audio asset library</x:v>
      </x:c>
      <x:c r="F17" s="65"/>
      <x:c r="G17" s="65"/>
      <x:c r="H17" s="65"/>
    </x:row>
    <x:row r="18" ht="61.5" customHeight="1">
      <x:c r="A18" s="67" t="str">
        <x:v>Story unlocks
Family subscription
Creator Pro studio plan
Education/faith bundles
Marketplace audio tools and premium assets</x:v>
      </x:c>
      <x:c r="B18" s="67" t="str">
        <x:v>Story unlocks
Family subscription
Creator Pro studio plan
Education/faith bundles
Marketplace audio tools and premium assets</x:v>
      </x:c>
      <x:c r="C18" s="65"/>
      <x:c r="D18" s="67" t="str">
        <x:v>Reader app
Creator Studio
PBF story format
Launch catalog
Compliance workflows
Creator/audio asset library</x:v>
      </x:c>
      <x:c r="E18" s="67" t="str">
        <x:v>Reader app
Creator Studio
PBF story format
Launch catalog
Compliance workflows
Creator/audio asset library</x:v>
      </x:c>
      <x:c r="F18" s="65"/>
      <x:c r="G18" s="65"/>
      <x:c r="H18" s="65"/>
    </x:row>
    <x:row r="19">
      <x:c r="A19" s="71" t="str">
        <x:v>Key Activities</x:v>
      </x:c>
      <x:c r="B19" s="71" t="str">
        <x:v>Key Activities</x:v>
      </x:c>
      <x:c r="C19" s="65"/>
      <x:c r="D19" s="71" t="str">
        <x:v>Key Partners</x:v>
      </x:c>
      <x:c r="E19" s="71" t="str">
        <x:v>Key Partners</x:v>
      </x:c>
      <x:c r="F19" s="65"/>
      <x:c r="G19" s="65"/>
      <x:c r="H19" s="65"/>
    </x:row>
    <x:row r="20" ht="61.5" customHeight="1">
      <x:c r="A20" s="67" t="str">
        <x:v>Seed flagship stories
Acquire parent readers
Acquire creators
Improve audio sync/editor workflow
Moderate and verify content rights
Build distribution partnerships</x:v>
      </x:c>
      <x:c r="B20" s="67" t="str">
        <x:v>Seed flagship stories
Acquire parent readers
Acquire creators
Improve audio sync/editor workflow
Moderate and verify content rights
Build distribution partnerships</x:v>
      </x:c>
      <x:c r="C20" s="65"/>
      <x:c r="D20" s="67" t="str">
        <x:v>Islamic educators and authors
Narrators/voice talent
Schools/masjids/homeschool groups
Payment provider
TTS/audio providers
Parent creators/influencers</x:v>
      </x:c>
      <x:c r="E20" s="67" t="str">
        <x:v>Islamic educators and authors
Narrators/voice talent
Schools/masjids/homeschool groups
Payment provider
TTS/audio providers
Parent creators/influencers</x:v>
      </x:c>
      <x:c r="F20" s="65"/>
      <x:c r="G20" s="65"/>
      <x:c r="H20" s="65"/>
    </x:row>
    <x:row r="21" ht="61.5" customHeight="1">
      <x:c r="A21" s="67" t="str">
        <x:v>Seed flagship stories
Acquire parent readers
Acquire creators
Improve audio sync/editor workflow
Moderate and verify content rights
Build distribution partnerships</x:v>
      </x:c>
      <x:c r="B21" s="67" t="str">
        <x:v>Seed flagship stories
Acquire parent readers
Acquire creators
Improve audio sync/editor workflow
Moderate and verify content rights
Build distribution partnerships</x:v>
      </x:c>
      <x:c r="C21" s="65"/>
      <x:c r="D21" s="67" t="str">
        <x:v>Islamic educators and authors
Narrators/voice talent
Schools/masjids/homeschool groups
Payment provider
TTS/audio providers
Parent creators/influencers</x:v>
      </x:c>
      <x:c r="E21" s="67" t="str">
        <x:v>Islamic educators and authors
Narrators/voice talent
Schools/masjids/homeschool groups
Payment provider
TTS/audio providers
Parent creators/influencers</x:v>
      </x:c>
      <x:c r="F21" s="65"/>
      <x:c r="G21" s="65"/>
      <x:c r="H21" s="65"/>
    </x:row>
    <x:row r="22" ht="61.5" customHeight="1">
      <x:c r="A22" s="67" t="str">
        <x:v>Seed flagship stories
Acquire parent readers
Acquire creators
Improve audio sync/editor workflow
Moderate and verify content rights
Build distribution partnerships</x:v>
      </x:c>
      <x:c r="B22" s="67" t="str">
        <x:v>Seed flagship stories
Acquire parent readers
Acquire creators
Improve audio sync/editor workflow
Moderate and verify content rights
Build distribution partnerships</x:v>
      </x:c>
      <x:c r="C22" s="65"/>
      <x:c r="D22" s="67" t="str">
        <x:v>Islamic educators and authors
Narrators/voice talent
Schools/masjids/homeschool groups
Payment provider
TTS/audio providers
Parent creators/influencers</x:v>
      </x:c>
      <x:c r="E22" s="67" t="str">
        <x:v>Islamic educators and authors
Narrators/voice talent
Schools/masjids/homeschool groups
Payment provider
TTS/audio providers
Parent creators/influencers</x:v>
      </x:c>
      <x:c r="F22" s="65"/>
      <x:c r="G22" s="65"/>
      <x:c r="H22" s="65"/>
    </x:row>
    <x:row r="23" ht="61.5" customHeight="1">
      <x:c r="A23" s="67" t="str">
        <x:v>Seed flagship stories
Acquire parent readers
Acquire creators
Improve audio sync/editor workflow
Moderate and verify content rights
Build distribution partnerships</x:v>
      </x:c>
      <x:c r="B23" s="67" t="str">
        <x:v>Seed flagship stories
Acquire parent readers
Acquire creators
Improve audio sync/editor workflow
Moderate and verify content rights
Build distribution partnerships</x:v>
      </x:c>
      <x:c r="C23" s="65"/>
      <x:c r="D23" s="67" t="str">
        <x:v>Islamic educators and authors
Narrators/voice talent
Schools/masjids/homeschool groups
Payment provider
TTS/audio providers
Parent creators/influencers</x:v>
      </x:c>
      <x:c r="E23" s="67" t="str">
        <x:v>Islamic educators and authors
Narrators/voice talent
Schools/masjids/homeschool groups
Payment provider
TTS/audio providers
Parent creators/influencers</x:v>
      </x:c>
      <x:c r="F23" s="65"/>
      <x:c r="G23" s="65"/>
      <x:c r="H23" s="65"/>
    </x:row>
    <x:row r="24">
      <x:c r="A24" s="71" t="str">
        <x:v>Cost Structure</x:v>
      </x:c>
      <x:c r="B24" s="71" t="str">
        <x:v>Cost Structure</x:v>
      </x:c>
      <x:c r="C24" s="65"/>
      <x:c r="D24" s="71" t="str">
        <x:v>Moat / Differentiation</x:v>
      </x:c>
      <x:c r="E24" s="71" t="str">
        <x:v>Moat / Differentiation</x:v>
      </x:c>
      <x:c r="F24" s="65"/>
      <x:c r="G24" s="65"/>
      <x:c r="H24" s="65"/>
    </x:row>
    <x:row r="25" ht="61.5" customHeight="1">
      <x:c r="A25" s="67" t="str">
        <x:v>Creator payouts
Payment fees
AI/TTS/storage
Engineering
Content production
Marketing
Legal/privacy/compliance
Support and moderation</x:v>
      </x:c>
      <x:c r="B25" s="67" t="str">
        <x:v>Creator payouts
Payment fees
AI/TTS/storage
Engineering
Content production
Marketing
Legal/privacy/compliance
Support and moderation</x:v>
      </x:c>
      <x:c r="C25" s="65"/>
      <x:c r="D25" s="67" t="str">
        <x:v>Browser-native shareability
Text + audio + cast format
Creator-friendly production tools
Niche launch catalog
Compliance-first publishing
Future PBF format ecosystem</x:v>
      </x:c>
      <x:c r="E25" s="67" t="str">
        <x:v>Browser-native shareability
Text + audio + cast format
Creator-friendly production tools
Niche launch catalog
Compliance-first publishing
Future PBF format ecosystem</x:v>
      </x:c>
      <x:c r="F25" s="65"/>
      <x:c r="G25" s="65"/>
      <x:c r="H25" s="65"/>
    </x:row>
    <x:row r="26" ht="61.5" customHeight="1">
      <x:c r="A26" s="67" t="str">
        <x:v>Creator payouts
Payment fees
AI/TTS/storage
Engineering
Content production
Marketing
Legal/privacy/compliance
Support and moderation</x:v>
      </x:c>
      <x:c r="B26" s="67" t="str">
        <x:v>Creator payouts
Payment fees
AI/TTS/storage
Engineering
Content production
Marketing
Legal/privacy/compliance
Support and moderation</x:v>
      </x:c>
      <x:c r="C26" s="65"/>
      <x:c r="D26" s="67" t="str">
        <x:v>Browser-native shareability
Text + audio + cast format
Creator-friendly production tools
Niche launch catalog
Compliance-first publishing
Future PBF format ecosystem</x:v>
      </x:c>
      <x:c r="E26" s="67" t="str">
        <x:v>Browser-native shareability
Text + audio + cast format
Creator-friendly production tools
Niche launch catalog
Compliance-first publishing
Future PBF format ecosystem</x:v>
      </x:c>
      <x:c r="F26" s="65"/>
      <x:c r="G26" s="65"/>
      <x:c r="H26" s="65"/>
    </x:row>
    <x:row r="27" ht="61.5" customHeight="1">
      <x:c r="A27" s="67" t="str">
        <x:v>Creator payouts
Payment fees
AI/TTS/storage
Engineering
Content production
Marketing
Legal/privacy/compliance
Support and moderation</x:v>
      </x:c>
      <x:c r="B27" s="67" t="str">
        <x:v>Creator payouts
Payment fees
AI/TTS/storage
Engineering
Content production
Marketing
Legal/privacy/compliance
Support and moderation</x:v>
      </x:c>
      <x:c r="C27" s="65"/>
      <x:c r="D27" s="67" t="str">
        <x:v>Browser-native shareability
Text + audio + cast format
Creator-friendly production tools
Niche launch catalog
Compliance-first publishing
Future PBF format ecosystem</x:v>
      </x:c>
      <x:c r="E27" s="67" t="str">
        <x:v>Browser-native shareability
Text + audio + cast format
Creator-friendly production tools
Niche launch catalog
Compliance-first publishing
Future PBF format ecosystem</x:v>
      </x:c>
      <x:c r="F27" s="65"/>
      <x:c r="G27" s="65"/>
      <x:c r="H27" s="65"/>
    </x:row>
    <x:row r="28" ht="61.5" customHeight="1">
      <x:c r="A28" s="67" t="str">
        <x:v>Creator payouts
Payment fees
AI/TTS/storage
Engineering
Content production
Marketing
Legal/privacy/compliance
Support and moderation</x:v>
      </x:c>
      <x:c r="B28" s="67" t="str">
        <x:v>Creator payouts
Payment fees
AI/TTS/storage
Engineering
Content production
Marketing
Legal/privacy/compliance
Support and moderation</x:v>
      </x:c>
      <x:c r="C28" s="65"/>
      <x:c r="D28" s="67" t="str">
        <x:v>Browser-native shareability
Text + audio + cast format
Creator-friendly production tools
Niche launch catalog
Compliance-first publishing
Future PBF format ecosystem</x:v>
      </x:c>
      <x:c r="E28" s="67" t="str">
        <x:v>Browser-native shareability
Text + audio + cast format
Creator-friendly production tools
Niche launch catalog
Compliance-first publishing
Future PBF format ecosystem</x:v>
      </x:c>
      <x:c r="F28" s="65"/>
      <x:c r="G28" s="65"/>
      <x:c r="H28" s="65"/>
    </x:row>
  </x:sheetData>
  <x:mergeCells>
    <x:mergeCell ref="A1:E1"/>
    <x:mergeCell ref="A2:H2"/>
    <x:mergeCell ref="A4:B4"/>
    <x:mergeCell ref="A5:B8"/>
    <x:mergeCell ref="D4:E4"/>
    <x:mergeCell ref="D5:E8"/>
    <x:mergeCell ref="A9:B9"/>
    <x:mergeCell ref="A10:B13"/>
    <x:mergeCell ref="D9:E9"/>
    <x:mergeCell ref="D10:E13"/>
    <x:mergeCell ref="A14:B14"/>
    <x:mergeCell ref="A15:B18"/>
    <x:mergeCell ref="D14:E14"/>
    <x:mergeCell ref="D15:E18"/>
    <x:mergeCell ref="A19:B19"/>
    <x:mergeCell ref="A20:B23"/>
    <x:mergeCell ref="D19:E19"/>
    <x:mergeCell ref="D20:E23"/>
    <x:mergeCell ref="A24:B24"/>
    <x:mergeCell ref="A25:B28"/>
    <x:mergeCell ref="D24:E24"/>
    <x:mergeCell ref="D25:E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6.81999969482422" hidden="0" customWidth="1"/>
    <x:col min="6" max="6" width="41.04999923706055" hidden="0" customWidth="1"/>
  </x:cols>
  <x:sheetData>
    <x:row r="1" ht="25.5" customHeight="1">
      <x:c r="A1" s="4" t="str">
        <x:v>PageCast Business Model Assumptions</x:v>
      </x:c>
      <x:c r="B1" s="4" t="str">
        <x:v>PageCast Business Model Assumptions</x:v>
      </x:c>
      <x:c r="C1" s="4" t="str">
        <x:v>PageCast Business Model Assumptions</x:v>
      </x:c>
      <x:c r="D1" s="4" t="str">
        <x:v>PageCast Business Model Assumptions</x:v>
      </x:c>
      <x:c r="E1" s="4" t="str">
        <x:v>PageCast Business Model Assumptions</x:v>
      </x:c>
      <x:c r="F1" s="4" t="str">
        <x:v>PageCast Business Model Assumptions</x:v>
      </x:c>
      <x:c r="G1" s="72"/>
      <x:c r="H1" s="72"/>
      <x:c r="I1" s="72"/>
      <x:c r="J1" s="72"/>
      <x:c r="K1" s="65"/>
      <x:c r="L1" s="65"/>
    </x:row>
    <x:row r="2" ht="16.5" customHeight="1">
      <x:c r="A2" s="64" t="str">
        <x:v>Blue/yellow cells are editable. Revenue and cost sheets are formula-driven from these assumptions.</x:v>
      </x:c>
      <x:c r="B2" s="64" t="str">
        <x:v>Blue/yellow cells are editable. Revenue and cost sheets are formula-driven from these assumptions.</x:v>
      </x:c>
      <x:c r="C2" s="64" t="str">
        <x:v>Blue/yellow cells are editable. Revenue and cost sheets are formula-driven from these assumptions.</x:v>
      </x:c>
      <x:c r="D2" s="64" t="str">
        <x:v>Blue/yellow cells are editable. Revenue and cost sheets are formula-driven from these assumptions.</x:v>
      </x:c>
      <x:c r="E2" s="64" t="str">
        <x:v>Blue/yellow cells are editable. Revenue and cost sheets are formula-driven from these assumptions.</x:v>
      </x:c>
      <x:c r="F2" s="64" t="str">
        <x:v>Blue/yellow cells are editable. Revenue and cost sheets are formula-driven from these assumptions.</x:v>
      </x:c>
      <x:c r="G2" s="64" t="str">
        <x:v>Blue/yellow cells are editable. Revenue and cost sheets are formula-driven from these assumptions.</x:v>
      </x:c>
      <x:c r="H2" s="64" t="str">
        <x:v>Blue/yellow cells are editable. Revenue and cost sheets are formula-driven from these assumptions.</x:v>
      </x:c>
      <x:c r="I2" s="65"/>
      <x:c r="J2" s="65"/>
      <x:c r="K2" s="65"/>
      <x:c r="L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4">
      <x:c r="A4" s="71" t="str">
        <x:v>Scenario Selector</x:v>
      </x:c>
      <x:c r="B4" s="71" t="str">
        <x:v>Scenario Selector</x:v>
      </x:c>
      <x:c r="C4" s="71" t="str">
        <x:v>Scenario Selector</x:v>
      </x:c>
      <x:c r="D4" s="71" t="str">
        <x:v>Scenario Selector</x:v>
      </x:c>
      <x:c r="E4" s="71" t="str">
        <x:v>Scenario Selector</x:v>
      </x:c>
      <x:c r="F4" s="71" t="str">
        <x:v>Scenario Selector</x:v>
      </x:c>
      <x:c r="G4" s="65"/>
      <x:c r="H4" s="71" t="str">
        <x:v>Active Reader Ramp</x:v>
      </x:c>
      <x:c r="I4" s="71" t="str">
        <x:v>Active Reader Ramp</x:v>
      </x:c>
      <x:c r="J4" s="71" t="str">
        <x:v>Active Reader Ramp</x:v>
      </x:c>
      <x:c r="K4" s="71" t="str">
        <x:v>Active Reader Ramp</x:v>
      </x:c>
      <x:c r="L4" s="71" t="str">
        <x:v>Active Reader Ramp</x:v>
      </x:c>
    </x:row>
    <x:row r="5">
      <x:c r="A5" s="67" t="str">
        <x:v>Selected Case</x:v>
      </x:c>
      <x:c r="B5" s="73" t="str">
        <x:v>Base</x:v>
      </x:c>
      <x:c r="C5" s="67" t="str"/>
      <x:c r="D5" s="67" t="str">
        <x:v>Model Currency</x:v>
      </x:c>
      <x:c r="E5" s="73" t="str">
        <x:v>USD</x:v>
      </x:c>
      <x:c r="F5" s="67" t="str"/>
      <x:c r="G5" s="65"/>
      <x:c r="H5" s="66" t="str">
        <x:v>Year</x:v>
      </x:c>
      <x:c r="I5" s="66" t="str">
        <x:v>Downside</x:v>
      </x:c>
      <x:c r="J5" s="66" t="str">
        <x:v>Base</x:v>
      </x:c>
      <x:c r="K5" s="66" t="str">
        <x:v>Upside</x:v>
      </x:c>
      <x:c r="L5" s="66" t="str">
        <x:v>Unit</x:v>
      </x:c>
    </x:row>
    <x:row r="6">
      <x:c r="A6" s="65"/>
      <x:c r="B6" s="65"/>
      <x:c r="C6" s="65"/>
      <x:c r="D6" s="65"/>
      <x:c r="E6" s="65"/>
      <x:c r="F6" s="65"/>
      <x:c r="G6" s="65"/>
      <x:c r="H6" s="67" t="n">
        <x:v>2026</x:v>
      </x:c>
      <x:c r="I6" s="74" t="n">
        <x:v>2500</x:v>
      </x:c>
      <x:c r="J6" s="74" t="n">
        <x:v>5000</x:v>
      </x:c>
      <x:c r="K6" s="74" t="n">
        <x:v>12000</x:v>
      </x:c>
      <x:c r="L6" s="67" t="str">
        <x:v>active readers</x:v>
      </x:c>
    </x:row>
    <x:row r="7">
      <x:c r="A7" s="65"/>
      <x:c r="B7" s="65"/>
      <x:c r="C7" s="65"/>
      <x:c r="D7" s="65"/>
      <x:c r="E7" s="65"/>
      <x:c r="F7" s="65"/>
      <x:c r="G7" s="65"/>
      <x:c r="H7" s="67" t="n">
        <x:v>2027</x:v>
      </x:c>
      <x:c r="I7" s="74" t="n">
        <x:v>15000</x:v>
      </x:c>
      <x:c r="J7" s="74" t="n">
        <x:v>35000</x:v>
      </x:c>
      <x:c r="K7" s="74" t="n">
        <x:v>90000</x:v>
      </x:c>
      <x:c r="L7" s="67" t="str">
        <x:v>active readers</x:v>
      </x:c>
    </x:row>
    <x:row r="8">
      <x:c r="A8" s="65"/>
      <x:c r="B8" s="65"/>
      <x:c r="C8" s="65"/>
      <x:c r="D8" s="65"/>
      <x:c r="E8" s="65"/>
      <x:c r="F8" s="65"/>
      <x:c r="G8" s="65"/>
      <x:c r="H8" s="67" t="n">
        <x:v>2028</x:v>
      </x:c>
      <x:c r="I8" s="74" t="n">
        <x:v>65000</x:v>
      </x:c>
      <x:c r="J8" s="74" t="n">
        <x:v>150000</x:v>
      </x:c>
      <x:c r="K8" s="74" t="n">
        <x:v>350000</x:v>
      </x:c>
      <x:c r="L8" s="67" t="str">
        <x:v>active readers</x:v>
      </x:c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</x:row>
    <x:row r="10">
      <x:c r="A10" s="71" t="str">
        <x:v>Market and Product Assumptions</x:v>
      </x:c>
      <x:c r="B10" s="71" t="str">
        <x:v>Market and Product Assumptions</x:v>
      </x:c>
      <x:c r="C10" s="71" t="str">
        <x:v>Market and Product Assumptions</x:v>
      </x:c>
      <x:c r="D10" s="71" t="str">
        <x:v>Market and Product Assumptions</x:v>
      </x:c>
      <x:c r="E10" s="71" t="str">
        <x:v>Market and Product Assumptions</x:v>
      </x:c>
      <x:c r="F10" s="71" t="str">
        <x:v>Market and Product Assumptions</x:v>
      </x:c>
      <x:c r="G10" s="65"/>
      <x:c r="H10" s="65"/>
      <x:c r="I10" s="65"/>
      <x:c r="J10" s="65"/>
      <x:c r="K10" s="65"/>
      <x:c r="L10" s="65"/>
    </x:row>
    <x:row r="11">
      <x:c r="A11" s="66" t="str">
        <x:v>Driver</x:v>
      </x:c>
      <x:c r="B11" s="66" t="str">
        <x:v>Downside</x:v>
      </x:c>
      <x:c r="C11" s="66" t="str">
        <x:v>Base</x:v>
      </x:c>
      <x:c r="D11" s="66" t="str">
        <x:v>Upside</x:v>
      </x:c>
      <x:c r="E11" s="66" t="str">
        <x:v>Unit</x:v>
      </x:c>
      <x:c r="F11" s="66" t="str">
        <x:v>Notes</x:v>
      </x:c>
      <x:c r="G11" s="65"/>
      <x:c r="H11" s="71" t="str">
        <x:v>Reader Conversion and Consumption</x:v>
      </x:c>
      <x:c r="I11" s="71" t="str">
        <x:v>Reader Conversion and Consumption</x:v>
      </x:c>
      <x:c r="J11" s="71" t="str">
        <x:v>Reader Conversion and Consumption</x:v>
      </x:c>
      <x:c r="K11" s="71" t="str">
        <x:v>Reader Conversion and Consumption</x:v>
      </x:c>
      <x:c r="L11" s="71" t="str">
        <x:v>Reader Conversion and Consumption</x:v>
      </x:c>
    </x:row>
    <x:row r="12">
      <x:c r="A12" s="67" t="str">
        <x:v>Launch focus</x:v>
      </x:c>
      <x:c r="B12" s="73" t="str">
        <x:v>Children's stories</x:v>
      </x:c>
      <x:c r="C12" s="73" t="str">
        <x:v>Children's Islamic stories</x:v>
      </x:c>
      <x:c r="D12" s="73" t="str">
        <x:v>Children's Islamic + language learning</x:v>
      </x:c>
      <x:c r="E12" s="67" t="str">
        <x:v>text</x:v>
      </x:c>
      <x:c r="F12" s="67" t="str">
        <x:v>Primary wedge for launch positioning</x:v>
      </x:c>
      <x:c r="G12" s="65"/>
      <x:c r="H12" s="66" t="str">
        <x:v>Year</x:v>
      </x:c>
      <x:c r="I12" s="66" t="str">
        <x:v>Paid Conv.</x:v>
      </x:c>
      <x:c r="J12" s="66" t="str">
        <x:v>Stories / Paid Reader</x:v>
      </x:c>
      <x:c r="K12" s="66" t="str">
        <x:v>Family Subs</x:v>
      </x:c>
      <x:c r="L12" s="66" t="str">
        <x:v>Creator Accounts</x:v>
      </x:c>
    </x:row>
    <x:row r="13">
      <x:c r="A13" s="67" t="str">
        <x:v>Average story unlock price</x:v>
      </x:c>
      <x:c r="B13" s="75" t="n">
        <x:v>2.99</x:v>
      </x:c>
      <x:c r="C13" s="75" t="n">
        <x:v>3.99</x:v>
      </x:c>
      <x:c r="D13" s="75" t="n">
        <x:v>4.99</x:v>
      </x:c>
      <x:c r="E13" s="67" t="str">
        <x:v>$ / story</x:v>
      </x:c>
      <x:c r="F13" s="67" t="str">
        <x:v>Paid one-time unlock; avoid coins/tokens at launch</x:v>
      </x:c>
      <x:c r="G13" s="65"/>
      <x:c r="H13" s="67" t="n">
        <x:v>2026</x:v>
      </x:c>
      <x:c r="I13" s="76" t="n">
        <x:v>0.04</x:v>
      </x:c>
      <x:c r="J13" s="77" t="n">
        <x:v>2.2</x:v>
      </x:c>
      <x:c r="K13" s="74" t="n">
        <x:v>100</x:v>
      </x:c>
      <x:c r="L13" s="74" t="n">
        <x:v>50</x:v>
      </x:c>
    </x:row>
    <x:row r="14">
      <x:c r="A14" s="67" t="str">
        <x:v>Family subscription price</x:v>
      </x:c>
      <x:c r="B14" s="75" t="n">
        <x:v>4.99</x:v>
      </x:c>
      <x:c r="C14" s="75" t="n">
        <x:v>5.99</x:v>
      </x:c>
      <x:c r="D14" s="75" t="n">
        <x:v>7.99</x:v>
      </x:c>
      <x:c r="E14" s="67" t="str">
        <x:v>$ / month</x:v>
      </x:c>
      <x:c r="F14" s="67" t="str">
        <x:v>Later catalog/family plan after enough content exists</x:v>
      </x:c>
      <x:c r="G14" s="65"/>
      <x:c r="H14" s="67" t="n">
        <x:v>2027</x:v>
      </x:c>
      <x:c r="I14" s="76" t="n">
        <x:v>0.07</x:v>
      </x:c>
      <x:c r="J14" s="77" t="n">
        <x:v>3</x:v>
      </x:c>
      <x:c r="K14" s="74" t="n">
        <x:v>1200</x:v>
      </x:c>
      <x:c r="L14" s="74" t="n">
        <x:v>400</x:v>
      </x:c>
    </x:row>
    <x:row r="15">
      <x:c r="A15" s="67" t="str">
        <x:v>Creator Pro price</x:v>
      </x:c>
      <x:c r="B15" s="75" t="n">
        <x:v>8</x:v>
      </x:c>
      <x:c r="C15" s="75" t="n">
        <x:v>12</x:v>
      </x:c>
      <x:c r="D15" s="75" t="n">
        <x:v>19</x:v>
      </x:c>
      <x:c r="E15" s="67" t="str">
        <x:v>$ / month</x:v>
      </x:c>
      <x:c r="F15" s="67" t="str">
        <x:v>Advanced studio/export/branding/audio tools</x:v>
      </x:c>
      <x:c r="G15" s="65"/>
      <x:c r="H15" s="67" t="n">
        <x:v>2028</x:v>
      </x:c>
      <x:c r="I15" s="76" t="n">
        <x:v>0.1</x:v>
      </x:c>
      <x:c r="J15" s="77" t="n">
        <x:v>4</x:v>
      </x:c>
      <x:c r="K15" s="74" t="n">
        <x:v>8000</x:v>
      </x:c>
      <x:c r="L15" s="74" t="n">
        <x:v>2500</x:v>
      </x:c>
    </x:row>
    <x:row r="16">
      <x:c r="A16" s="67" t="str">
        <x:v>Education / faith bundle price</x:v>
      </x:c>
      <x:c r="B16" s="75" t="n">
        <x:v>150</x:v>
      </x:c>
      <x:c r="C16" s="75" t="n">
        <x:v>250</x:v>
      </x:c>
      <x:c r="D16" s="75" t="n">
        <x:v>450</x:v>
      </x:c>
      <x:c r="E16" s="67" t="str">
        <x:v>$ / org / year</x:v>
      </x:c>
      <x:c r="F16" s="67" t="str">
        <x:v>Schools, teachers, masjids, homeschool groups</x:v>
      </x:c>
      <x:c r="G16" s="65"/>
      <x:c r="H16" s="65"/>
      <x:c r="I16" s="65"/>
      <x:c r="J16" s="65"/>
      <x:c r="K16" s="65"/>
      <x:c r="L16" s="65"/>
    </x:row>
    <x:row r="17">
      <x:c r="A17" s="67" t="str">
        <x:v>Creator payout share on unlocks</x:v>
      </x:c>
      <x:c r="B17" s="76" t="n">
        <x:v>0.65</x:v>
      </x:c>
      <x:c r="C17" s="76" t="n">
        <x:v>0.6</x:v>
      </x:c>
      <x:c r="D17" s="76" t="n">
        <x:v>0.55</x:v>
      </x:c>
      <x:c r="E17" s="67" t="str">
        <x:v>% of unlock GMV</x:v>
      </x:c>
      <x:c r="F17" s="67" t="str">
        <x:v>PageCast retains platform share after creator payout</x:v>
      </x:c>
      <x:c r="G17" s="65"/>
      <x:c r="H17" s="65"/>
      <x:c r="I17" s="65"/>
      <x:c r="J17" s="65"/>
      <x:c r="K17" s="65"/>
      <x:c r="L17" s="65"/>
    </x:row>
    <x:row r="18">
      <x:c r="A18" s="67" t="str">
        <x:v>Payment processing fee</x:v>
      </x:c>
      <x:c r="B18" s="76" t="n">
        <x:v>0.035</x:v>
      </x:c>
      <x:c r="C18" s="76" t="n">
        <x:v>0.035</x:v>
      </x:c>
      <x:c r="D18" s="76" t="n">
        <x:v>0.032</x:v>
      </x:c>
      <x:c r="E18" s="67" t="str">
        <x:v>% gross billings</x:v>
      </x:c>
      <x:c r="F18" s="67" t="str">
        <x:v>Stripe/payment estimate</x:v>
      </x:c>
      <x:c r="G18" s="65"/>
      <x:c r="H18" s="71" t="str">
        <x:v>Operating Expense Plan - Base Case</x:v>
      </x:c>
      <x:c r="I18" s="71" t="str">
        <x:v>Operating Expense Plan - Base Case</x:v>
      </x:c>
      <x:c r="J18" s="71" t="str">
        <x:v>Operating Expense Plan - Base Case</x:v>
      </x:c>
      <x:c r="K18" s="71" t="str">
        <x:v>Operating Expense Plan - Base Case</x:v>
      </x:c>
      <x:c r="L18" s="71" t="str">
        <x:v>Operating Expense Plan - Base Case</x:v>
      </x:c>
    </x:row>
    <x:row r="19">
      <x:c r="A19" s="67" t="str">
        <x:v>AI voice / storage COGS</x:v>
      </x:c>
      <x:c r="B19" s="76" t="n">
        <x:v>0.1</x:v>
      </x:c>
      <x:c r="C19" s="76" t="n">
        <x:v>0.07</x:v>
      </x:c>
      <x:c r="D19" s="76" t="n">
        <x:v>0.05</x:v>
      </x:c>
      <x:c r="E19" s="67" t="str">
        <x:v>% gross billings</x:v>
      </x:c>
      <x:c r="F19" s="67" t="str">
        <x:v>Cloud, TTS, storage, bandwidth</x:v>
      </x:c>
      <x:c r="G19" s="65"/>
      <x:c r="H19" s="66" t="str">
        <x:v>Opex Line</x:v>
      </x:c>
      <x:c r="I19" s="66" t="str">
        <x:v>2026</x:v>
      </x:c>
      <x:c r="J19" s="66" t="str">
        <x:v>2027</x:v>
      </x:c>
      <x:c r="K19" s="66" t="str">
        <x:v>2028</x:v>
      </x:c>
      <x:c r="L19" s="66" t="str">
        <x:v>Notes</x:v>
      </x:c>
    </x:row>
    <x:row r="20">
      <x:c r="A20" s="67" t="str">
        <x:v>Support / moderation COGS</x:v>
      </x:c>
      <x:c r="B20" s="76" t="n">
        <x:v>0.035</x:v>
      </x:c>
      <x:c r="C20" s="76" t="n">
        <x:v>0.025</x:v>
      </x:c>
      <x:c r="D20" s="76" t="n">
        <x:v>0.02</x:v>
      </x:c>
      <x:c r="E20" s="67" t="str">
        <x:v>% gross billings</x:v>
      </x:c>
      <x:c r="F20" s="67" t="str">
        <x:v>Customer support, rights review, takedown handling</x:v>
      </x:c>
      <x:c r="G20" s="65"/>
      <x:c r="H20" s="67" t="str">
        <x:v>Founder / core payroll</x:v>
      </x:c>
      <x:c r="I20" s="75" t="n">
        <x:v>36000</x:v>
      </x:c>
      <x:c r="J20" s="75" t="n">
        <x:v>90000</x:v>
      </x:c>
      <x:c r="K20" s="75" t="n">
        <x:v>180000</x:v>
      </x:c>
      <x:c r="L20" s="67" t="str">
        <x:v>Lean team; expand after proof of demand</x:v>
      </x:c>
    </x:row>
    <x:row r="21">
      <x:c r="A21" s="67" t="str">
        <x:v>Starting cash</x:v>
      </x:c>
      <x:c r="B21" s="75" t="n">
        <x:v>15000</x:v>
      </x:c>
      <x:c r="C21" s="75" t="n">
        <x:v>25000</x:v>
      </x:c>
      <x:c r="D21" s="75" t="n">
        <x:v>75000</x:v>
      </x:c>
      <x:c r="E21" s="67" t="str">
        <x:v>$</x:v>
      </x:c>
      <x:c r="F21" s="67" t="str">
        <x:v>Bootstrap or seed cash before launch</x:v>
      </x:c>
      <x:c r="G21" s="65"/>
      <x:c r="H21" s="67" t="str">
        <x:v>Engineering &amp; infrastructure</x:v>
      </x:c>
      <x:c r="I21" s="75" t="n">
        <x:v>12000</x:v>
      </x:c>
      <x:c r="J21" s="75" t="n">
        <x:v>30000</x:v>
      </x:c>
      <x:c r="K21" s="75" t="n">
        <x:v>75000</x:v>
      </x:c>
      <x:c r="L21" s="67" t="str">
        <x:v>Product, hosting, observability, tools</x:v>
      </x:c>
    </x:row>
    <x:row r="22">
      <x:c r="A22" s="65"/>
      <x:c r="B22" s="65"/>
      <x:c r="C22" s="65"/>
      <x:c r="D22" s="65"/>
      <x:c r="E22" s="65"/>
      <x:c r="F22" s="65"/>
      <x:c r="G22" s="65"/>
      <x:c r="H22" s="67" t="str">
        <x:v>Content seeding / production</x:v>
      </x:c>
      <x:c r="I22" s="75" t="n">
        <x:v>10000</x:v>
      </x:c>
      <x:c r="J22" s="75" t="n">
        <x:v>30000</x:v>
      </x:c>
      <x:c r="K22" s="75" t="n">
        <x:v>80000</x:v>
      </x:c>
      <x:c r="L22" s="67" t="str">
        <x:v>Launch catalog, flagship PageCasts, localization</x:v>
      </x:c>
    </x:row>
    <x:row r="23">
      <x:c r="A23" s="65"/>
      <x:c r="B23" s="65"/>
      <x:c r="C23" s="65"/>
      <x:c r="D23" s="65"/>
      <x:c r="E23" s="65"/>
      <x:c r="F23" s="65"/>
      <x:c r="G23" s="65"/>
      <x:c r="H23" s="67" t="str">
        <x:v>Marketing spend</x:v>
      </x:c>
      <x:c r="I23" s="75" t="n">
        <x:v>15000</x:v>
      </x:c>
      <x:c r="J23" s="75" t="n">
        <x:v>65000</x:v>
      </x:c>
      <x:c r="K23" s="75" t="n">
        <x:v>220000</x:v>
      </x:c>
      <x:c r="L23" s="67" t="str">
        <x:v>Creator demos, parent/community channels, paid tests</x:v>
      </x:c>
    </x:row>
    <x:row r="24">
      <x:c r="A24" s="65"/>
      <x:c r="B24" s="65"/>
      <x:c r="C24" s="65"/>
      <x:c r="D24" s="65"/>
      <x:c r="E24" s="65"/>
      <x:c r="F24" s="65"/>
      <x:c r="G24" s="65"/>
      <x:c r="H24" s="67" t="str">
        <x:v>Legal, compliance, admin</x:v>
      </x:c>
      <x:c r="I24" s="75" t="n">
        <x:v>8000</x:v>
      </x:c>
      <x:c r="J24" s="75" t="n">
        <x:v>18000</x:v>
      </x:c>
      <x:c r="K24" s="75" t="n">
        <x:v>45000</x:v>
      </x:c>
      <x:c r="L24" s="67" t="str">
        <x:v>Copyright, child privacy, payments, accounting</x:v>
      </x:c>
    </x:row>
    <x:row r="25">
      <x:c r="A25" s="65"/>
      <x:c r="B25" s="65"/>
      <x:c r="C25" s="65"/>
      <x:c r="D25" s="65"/>
      <x:c r="E25" s="65"/>
      <x:c r="F25" s="65"/>
      <x:c r="G25" s="65"/>
      <x:c r="H25" s="67" t="str">
        <x:v>Customer success / moderation</x:v>
      </x:c>
      <x:c r="I25" s="75" t="n">
        <x:v>5000</x:v>
      </x:c>
      <x:c r="J25" s="75" t="n">
        <x:v>18000</x:v>
      </x:c>
      <x:c r="K25" s="75" t="n">
        <x:v>60000</x:v>
      </x:c>
      <x:c r="L25" s="67" t="str">
        <x:v>Support and rights review</x:v>
      </x:c>
    </x:row>
    <x:row r="26">
      <x:c r="A26" s="65"/>
      <x:c r="B26" s="65"/>
      <x:c r="C26" s="65"/>
      <x:c r="D26" s="65"/>
      <x:c r="E26" s="65"/>
      <x:c r="F26" s="65"/>
      <x:c r="G26" s="65"/>
      <x:c r="H26" s="67" t="str">
        <x:v>Other G&amp;A</x:v>
      </x:c>
      <x:c r="I26" s="75" t="n">
        <x:v>4000</x:v>
      </x:c>
      <x:c r="J26" s="75" t="n">
        <x:v>10000</x:v>
      </x:c>
      <x:c r="K26" s="75" t="n">
        <x:v>25000</x:v>
      </x:c>
      <x:c r="L26" s="67" t="str">
        <x:v>Software and operations buffer</x:v>
      </x:c>
    </x:row>
  </x:sheetData>
  <x:mergeCells>
    <x:mergeCell ref="A1:F1"/>
    <x:mergeCell ref="A2:H2"/>
    <x:mergeCell ref="A4:F4"/>
    <x:mergeCell ref="A10:F10"/>
    <x:mergeCell ref="H4:L4"/>
    <x:mergeCell ref="H11:L11"/>
    <x:mergeCell ref="H18:L18"/>
  </x:mergeCells>
  <x:dataValidations count="1">
    <x:dataValidation type="list" sqref="B5">
      <x:formula1>"Downside,Base,Upside"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4.130000114440918" hidden="0" customWidth="1"/>
    <x:col min="6" max="6" width="41.04999923706055" hidden="0" customWidth="1"/>
  </x:cols>
  <x:sheetData>
    <x:row r="1" ht="25.5" customHeight="1">
      <x:c r="A1" s="4" t="str">
        <x:v>Revenue Model</x:v>
      </x:c>
      <x:c r="B1" s="4" t="str">
        <x:v>Revenue Model</x:v>
      </x:c>
      <x:c r="C1" s="4" t="str">
        <x:v>Revenue Model</x:v>
      </x:c>
      <x:c r="D1" s="4" t="str">
        <x:v>Revenue Model</x:v>
      </x:c>
      <x:c r="E1" s="4" t="str">
        <x:v>Revenue Model</x:v>
      </x:c>
      <x:c r="F1" s="4" t="str">
        <x:v>Revenue Model</x:v>
      </x:c>
      <x:c r="G1" s="72"/>
      <x:c r="H1" s="72"/>
      <x:c r="I1" s="72"/>
      <x:c r="J1" s="72"/>
    </x:row>
    <x:row r="2" ht="16.5" customHeight="1">
      <x:c r="A2" s="64" t="str">
        <x:v>Gross billings and platform revenue by stream. Change assumptions on the Assumptions tab.</x:v>
      </x:c>
      <x:c r="B2" s="64" t="str">
        <x:v>Gross billings and platform revenue by stream. Change assumptions on the Assumptions tab.</x:v>
      </x:c>
      <x:c r="C2" s="64" t="str">
        <x:v>Gross billings and platform revenue by stream. Change assumptions on the Assumptions tab.</x:v>
      </x:c>
      <x:c r="D2" s="64" t="str">
        <x:v>Gross billings and platform revenue by stream. Change assumptions on the Assumptions tab.</x:v>
      </x:c>
      <x:c r="E2" s="64" t="str">
        <x:v>Gross billings and platform revenue by stream. Change assumptions on the Assumptions tab.</x:v>
      </x:c>
      <x:c r="F2" s="64" t="str">
        <x:v>Gross billings and platform revenue by stream. Change assumptions on the Assumptions tab.</x:v>
      </x:c>
      <x:c r="G2" s="64" t="str">
        <x:v>Gross billings and platform revenue by stream. Change assumptions on the Assumptions tab.</x:v>
      </x:c>
      <x:c r="H2" s="64" t="str">
        <x:v>Gross billings and platform revenue by stream. Change assumptions on the Assumptions tab.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Metric</x:v>
      </x:c>
      <x:c r="B4" s="66" t="n">
        <x:v>2026</x:v>
      </x:c>
      <x:c r="C4" s="66" t="n">
        <x:v>2027</x:v>
      </x:c>
      <x:c r="D4" s="66" t="n">
        <x:v>2028</x:v>
      </x:c>
      <x:c r="E4" s="66" t="str">
        <x:v>Unit</x:v>
      </x:c>
      <x:c r="F4" s="66" t="str">
        <x:v>Formula / Notes</x:v>
      </x:c>
      <x:c r="G4" s="65"/>
      <x:c r="H4" s="65"/>
    </x:row>
    <x:row r="5">
      <x:c r="A5" s="67" t="str">
        <x:v>Active readers</x:v>
      </x:c>
      <x:c r="B5" s="68" t="n">
        <x:f>INDEX(Assumptions!$I$6:$K$8,MATCH(B$4,Assumptions!$H$6:$H$8,0),MATCH(Assumptions!$B$5,Assumptions!$I$5:$K$5,0))</x:f>
        <x:v>5000</x:v>
      </x:c>
      <x:c r="C5" s="68" t="n">
        <x:f>INDEX(Assumptions!$I$6:$K$8,MATCH(C$4,Assumptions!$H$6:$H$8,0),MATCH(Assumptions!$B$5,Assumptions!$I$5:$K$5,0))</x:f>
        <x:v>35000</x:v>
      </x:c>
      <x:c r="D5" s="68" t="n">
        <x:f>INDEX(Assumptions!$I$6:$K$8,MATCH(D$4,Assumptions!$H$6:$H$8,0),MATCH(Assumptions!$B$5,Assumptions!$I$5:$K$5,0))</x:f>
        <x:v>150000</x:v>
      </x:c>
      <x:c r="E5" s="67" t="str">
        <x:v>users</x:v>
      </x:c>
      <x:c r="F5" s="67" t="str">
        <x:v>From active reader ramp</x:v>
      </x:c>
      <x:c r="G5" s="65"/>
      <x:c r="H5" s="65"/>
    </x:row>
    <x:row r="6">
      <x:c r="A6" s="67" t="str">
        <x:v>Paid reader conversion</x:v>
      </x:c>
      <x:c r="B6" s="70" t="n">
        <x:f>INDEX(Assumptions!$I$13:$I$15,MATCH(B$4,Assumptions!$H$13:$H$15,0))</x:f>
        <x:v>0.04</x:v>
      </x:c>
      <x:c r="C6" s="70" t="n">
        <x:f>INDEX(Assumptions!$I$13:$I$15,MATCH(C$4,Assumptions!$H$13:$H$15,0))</x:f>
        <x:v>0.07</x:v>
      </x:c>
      <x:c r="D6" s="70" t="n">
        <x:f>INDEX(Assumptions!$I$13:$I$15,MATCH(D$4,Assumptions!$H$13:$H$15,0))</x:f>
        <x:v>0.1</x:v>
      </x:c>
      <x:c r="E6" s="67" t="str">
        <x:v>%</x:v>
      </x:c>
      <x:c r="F6" s="67" t="str">
        <x:v>Editable on Assumptions</x:v>
      </x:c>
      <x:c r="G6" s="65"/>
      <x:c r="H6" s="65"/>
    </x:row>
    <x:row r="7">
      <x:c r="A7" s="67" t="str">
        <x:v>Paid readers</x:v>
      </x:c>
      <x:c r="B7" s="68" t="n">
        <x:f>B5*B6</x:f>
        <x:v>200</x:v>
      </x:c>
      <x:c r="C7" s="68" t="n">
        <x:f>C5*C6</x:f>
        <x:v>2450.0000000000005</x:v>
      </x:c>
      <x:c r="D7" s="68" t="n">
        <x:f>D5*D6</x:f>
        <x:v>15000</x:v>
      </x:c>
      <x:c r="E7" s="67" t="str">
        <x:v>users</x:v>
      </x:c>
      <x:c r="F7" s="67" t="str">
        <x:v>Active readers x paid conversion</x:v>
      </x:c>
      <x:c r="G7" s="65"/>
      <x:c r="H7" s="65"/>
    </x:row>
    <x:row r="8">
      <x:c r="A8" s="67" t="str">
        <x:v>Stories unlocked per paid reader</x:v>
      </x:c>
      <x:c r="B8" s="78" t="n">
        <x:f>INDEX(Assumptions!$J$13:$J$15,MATCH(B$4,Assumptions!$H$13:$H$15,0))</x:f>
        <x:v>2.2</x:v>
      </x:c>
      <x:c r="C8" s="78" t="n">
        <x:f>INDEX(Assumptions!$J$13:$J$15,MATCH(C$4,Assumptions!$H$13:$H$15,0))</x:f>
        <x:v>3</x:v>
      </x:c>
      <x:c r="D8" s="78" t="n">
        <x:f>INDEX(Assumptions!$J$13:$J$15,MATCH(D$4,Assumptions!$H$13:$H$15,0))</x:f>
        <x:v>4</x:v>
      </x:c>
      <x:c r="E8" s="67" t="str">
        <x:v>stories</x:v>
      </x:c>
      <x:c r="F8" s="67" t="str">
        <x:v>Editable on Assumptions</x:v>
      </x:c>
      <x:c r="G8" s="65"/>
      <x:c r="H8" s="65"/>
    </x:row>
    <x:row r="9">
      <x:c r="A9" s="67" t="str">
        <x:v>Average story unlock price</x:v>
      </x:c>
      <x:c r="B9" s="69" t="n">
        <x:f>INDEX(Assumptions!$B$13:$D$13,1,MATCH(Assumptions!$B$5,Assumptions!$B$11:$D$11,0))</x:f>
        <x:v>3.99</x:v>
      </x:c>
      <x:c r="C9" s="69" t="n">
        <x:f>INDEX(Assumptions!$B$13:$D$13,1,MATCH(Assumptions!$B$5,Assumptions!$B$11:$D$11,0))</x:f>
        <x:v>3.99</x:v>
      </x:c>
      <x:c r="D9" s="69" t="n">
        <x:f>INDEX(Assumptions!$B$13:$D$13,1,MATCH(Assumptions!$B$5,Assumptions!$B$11:$D$11,0))</x:f>
        <x:v>3.99</x:v>
      </x:c>
      <x:c r="E9" s="67" t="str">
        <x:v>$</x:v>
      </x:c>
      <x:c r="F9" s="67" t="str">
        <x:v>Scenario-driven</x:v>
      </x:c>
      <x:c r="G9" s="65"/>
      <x:c r="H9" s="65"/>
    </x:row>
    <x:row r="10">
      <x:c r="A10" s="67" t="str">
        <x:v>Reader unlock gross billings</x:v>
      </x:c>
      <x:c r="B10" s="69" t="n">
        <x:f>B7*B8*B9</x:f>
        <x:v>1755.6000000000004</x:v>
      </x:c>
      <x:c r="C10" s="69" t="n">
        <x:f>C7*C8*C9</x:f>
        <x:v>29326.500000000007</x:v>
      </x:c>
      <x:c r="D10" s="69" t="n">
        <x:f>D7*D8*D9</x:f>
        <x:v>239400</x:v>
      </x:c>
      <x:c r="E10" s="67" t="str">
        <x:v>$</x:v>
      </x:c>
      <x:c r="F10" s="67" t="str">
        <x:v>Paid readers x unlocks x price</x:v>
      </x:c>
      <x:c r="G10" s="65"/>
      <x:c r="H10" s="65"/>
    </x:row>
    <x:row r="11">
      <x:c r="A11" s="67" t="str">
        <x:v>Family subscription accounts</x:v>
      </x:c>
      <x:c r="B11" s="68" t="n">
        <x:f>INDEX(Assumptions!$K$13:$K$15,MATCH(B$4,Assumptions!$H$13:$H$15,0))</x:f>
        <x:v>100</x:v>
      </x:c>
      <x:c r="C11" s="68" t="n">
        <x:f>INDEX(Assumptions!$K$13:$K$15,MATCH(C$4,Assumptions!$H$13:$H$15,0))</x:f>
        <x:v>1200</x:v>
      </x:c>
      <x:c r="D11" s="68" t="n">
        <x:f>INDEX(Assumptions!$K$13:$K$15,MATCH(D$4,Assumptions!$H$13:$H$15,0))</x:f>
        <x:v>8000</x:v>
      </x:c>
      <x:c r="E11" s="67" t="str">
        <x:v>accounts</x:v>
      </x:c>
      <x:c r="F11" s="67" t="str">
        <x:v>Editable on Assumptions</x:v>
      </x:c>
      <x:c r="G11" s="65"/>
      <x:c r="H11" s="65"/>
    </x:row>
    <x:row r="12">
      <x:c r="A12" s="67" t="str">
        <x:v>Family subscription price / month</x:v>
      </x:c>
      <x:c r="B12" s="69" t="n">
        <x:f>INDEX(Assumptions!$B$14:$D$14,1,MATCH(Assumptions!$B$5,Assumptions!$B$11:$D$11,0))</x:f>
        <x:v>5.99</x:v>
      </x:c>
      <x:c r="C12" s="69" t="n">
        <x:f>INDEX(Assumptions!$B$14:$D$14,1,MATCH(Assumptions!$B$5,Assumptions!$B$11:$D$11,0))</x:f>
        <x:v>5.99</x:v>
      </x:c>
      <x:c r="D12" s="69" t="n">
        <x:f>INDEX(Assumptions!$B$14:$D$14,1,MATCH(Assumptions!$B$5,Assumptions!$B$11:$D$11,0))</x:f>
        <x:v>5.99</x:v>
      </x:c>
      <x:c r="E12" s="67" t="str">
        <x:v>$</x:v>
      </x:c>
      <x:c r="F12" s="67" t="str">
        <x:v>Scenario-driven</x:v>
      </x:c>
      <x:c r="G12" s="65"/>
      <x:c r="H12" s="65"/>
    </x:row>
    <x:row r="13">
      <x:c r="A13" s="67" t="str">
        <x:v>Family subscription revenue</x:v>
      </x:c>
      <x:c r="B13" s="69" t="n">
        <x:f>B11*B12*12</x:f>
        <x:v>7188</x:v>
      </x:c>
      <x:c r="C13" s="69" t="n">
        <x:f>C11*C12*12</x:f>
        <x:v>86256</x:v>
      </x:c>
      <x:c r="D13" s="69" t="n">
        <x:f>D11*D12*12</x:f>
        <x:v>575040</x:v>
      </x:c>
      <x:c r="E13" s="67" t="str">
        <x:v>$</x:v>
      </x:c>
      <x:c r="F13" s="67" t="str">
        <x:v>Accounts x monthly price x 12</x:v>
      </x:c>
      <x:c r="G13" s="65"/>
      <x:c r="H13" s="65"/>
    </x:row>
    <x:row r="14">
      <x:c r="A14" s="67" t="str">
        <x:v>Creator accounts</x:v>
      </x:c>
      <x:c r="B14" s="68" t="n">
        <x:f>INDEX(Assumptions!$L$13:$L$15,MATCH(B$4,Assumptions!$H$13:$H$15,0))</x:f>
        <x:v>50</x:v>
      </x:c>
      <x:c r="C14" s="68" t="n">
        <x:f>INDEX(Assumptions!$L$13:$L$15,MATCH(C$4,Assumptions!$H$13:$H$15,0))</x:f>
        <x:v>400</x:v>
      </x:c>
      <x:c r="D14" s="68" t="n">
        <x:f>INDEX(Assumptions!$L$13:$L$15,MATCH(D$4,Assumptions!$H$13:$H$15,0))</x:f>
        <x:v>2500</x:v>
      </x:c>
      <x:c r="E14" s="67" t="str">
        <x:v>creators</x:v>
      </x:c>
      <x:c r="F14" s="67" t="str">
        <x:v>Editable on Assumptions</x:v>
      </x:c>
      <x:c r="G14" s="65"/>
      <x:c r="H14" s="65"/>
    </x:row>
    <x:row r="15">
      <x:c r="A15" s="67" t="str">
        <x:v>Creator Pro adoption</x:v>
      </x:c>
      <x:c r="B15" s="76" t="n">
        <x:v>0.1</x:v>
      </x:c>
      <x:c r="C15" s="76" t="n">
        <x:v>0.18</x:v>
      </x:c>
      <x:c r="D15" s="76" t="n">
        <x:v>0.25</x:v>
      </x:c>
      <x:c r="E15" s="67" t="str">
        <x:v>%</x:v>
      </x:c>
      <x:c r="F15" s="67" t="str">
        <x:v>Share of creators on paid studio plan</x:v>
      </x:c>
      <x:c r="G15" s="65"/>
      <x:c r="H15" s="65"/>
    </x:row>
    <x:row r="16">
      <x:c r="A16" s="67" t="str">
        <x:v>Creator Pro price / month</x:v>
      </x:c>
      <x:c r="B16" s="69" t="n">
        <x:f>INDEX(Assumptions!$B$15:$D$15,1,MATCH(Assumptions!$B$5,Assumptions!$B$11:$D$11,0))</x:f>
        <x:v>12</x:v>
      </x:c>
      <x:c r="C16" s="69" t="n">
        <x:f>INDEX(Assumptions!$B$15:$D$15,1,MATCH(Assumptions!$B$5,Assumptions!$B$11:$D$11,0))</x:f>
        <x:v>12</x:v>
      </x:c>
      <x:c r="D16" s="69" t="n">
        <x:f>INDEX(Assumptions!$B$15:$D$15,1,MATCH(Assumptions!$B$5,Assumptions!$B$11:$D$11,0))</x:f>
        <x:v>12</x:v>
      </x:c>
      <x:c r="E16" s="67" t="str">
        <x:v>$</x:v>
      </x:c>
      <x:c r="F16" s="67" t="str">
        <x:v>Scenario-driven</x:v>
      </x:c>
      <x:c r="G16" s="65"/>
      <x:c r="H16" s="65"/>
    </x:row>
    <x:row r="17">
      <x:c r="A17" s="67" t="str">
        <x:v>Creator Pro revenue</x:v>
      </x:c>
      <x:c r="B17" s="69" t="n">
        <x:f>B14*B15*B16*12</x:f>
        <x:v>720</x:v>
      </x:c>
      <x:c r="C17" s="69" t="n">
        <x:f>C14*C15*C16*12</x:f>
        <x:v>10368</x:v>
      </x:c>
      <x:c r="D17" s="69" t="n">
        <x:f>D14*D15*D16*12</x:f>
        <x:v>90000</x:v>
      </x:c>
      <x:c r="E17" s="67" t="str">
        <x:v>$</x:v>
      </x:c>
      <x:c r="F17" s="67" t="str">
        <x:v>Creators x adoption x monthly price x 12</x:v>
      </x:c>
      <x:c r="G17" s="65"/>
      <x:c r="H17" s="65"/>
    </x:row>
    <x:row r="18">
      <x:c r="A18" s="67" t="str">
        <x:v>Education / faith bundle accounts</x:v>
      </x:c>
      <x:c r="B18" s="74" t="n">
        <x:v>5</x:v>
      </x:c>
      <x:c r="C18" s="74" t="n">
        <x:v>35</x:v>
      </x:c>
      <x:c r="D18" s="74" t="n">
        <x:v>180</x:v>
      </x:c>
      <x:c r="E18" s="67" t="str">
        <x:v>orgs</x:v>
      </x:c>
      <x:c r="F18" s="67" t="str">
        <x:v>Manual launch plan assumption</x:v>
      </x:c>
      <x:c r="G18" s="65"/>
      <x:c r="H18" s="65"/>
    </x:row>
    <x:row r="19">
      <x:c r="A19" s="67" t="str">
        <x:v>Bundle price / org / year</x:v>
      </x:c>
      <x:c r="B19" s="69" t="n">
        <x:f>INDEX(Assumptions!$B$16:$D$16,1,MATCH(Assumptions!$B$5,Assumptions!$B$11:$D$11,0))</x:f>
        <x:v>250</x:v>
      </x:c>
      <x:c r="C19" s="69" t="n">
        <x:f>INDEX(Assumptions!$B$16:$D$16,1,MATCH(Assumptions!$B$5,Assumptions!$B$11:$D$11,0))</x:f>
        <x:v>250</x:v>
      </x:c>
      <x:c r="D19" s="69" t="n">
        <x:f>INDEX(Assumptions!$B$16:$D$16,1,MATCH(Assumptions!$B$5,Assumptions!$B$11:$D$11,0))</x:f>
        <x:v>250</x:v>
      </x:c>
      <x:c r="E19" s="67" t="str">
        <x:v>$</x:v>
      </x:c>
      <x:c r="F19" s="67" t="str">
        <x:v>Scenario-driven</x:v>
      </x:c>
      <x:c r="G19" s="65"/>
      <x:c r="H19" s="65"/>
    </x:row>
    <x:row r="20">
      <x:c r="A20" s="67" t="str">
        <x:v>Education / faith bundle revenue</x:v>
      </x:c>
      <x:c r="B20" s="69" t="n">
        <x:f>B18*B19</x:f>
        <x:v>1250</x:v>
      </x:c>
      <x:c r="C20" s="69" t="n">
        <x:f>C18*C19</x:f>
        <x:v>8750</x:v>
      </x:c>
      <x:c r="D20" s="69" t="n">
        <x:f>D18*D19</x:f>
        <x:v>45000</x:v>
      </x:c>
      <x:c r="E20" s="67" t="str">
        <x:v>$</x:v>
      </x:c>
      <x:c r="F20" s="67" t="str">
        <x:v>Accounts x annual bundle price</x:v>
      </x:c>
      <x:c r="G20" s="65"/>
      <x:c r="H20" s="65"/>
    </x:row>
    <x:row r="21">
      <x:c r="A21" s="67" t="str">
        <x:v>Marketplace / audio tool revenue</x:v>
      </x:c>
      <x:c r="B21" s="75" t="n">
        <x:v>1000</x:v>
      </x:c>
      <x:c r="C21" s="75" t="n">
        <x:v>12000</x:v>
      </x:c>
      <x:c r="D21" s="75" t="n">
        <x:v>75000</x:v>
      </x:c>
      <x:c r="E21" s="67" t="str">
        <x:v>$</x:v>
      </x:c>
      <x:c r="F21" s="67" t="str">
        <x:v>Templates, premium voices, custom services</x:v>
      </x:c>
      <x:c r="G21" s="65"/>
      <x:c r="H21" s="65"/>
    </x:row>
    <x:row r="22">
      <x:c r="A22" s="79" t="str">
        <x:v>Total gross billings</x:v>
      </x:c>
      <x:c r="B22" s="80" t="n">
        <x:f>SUM(B10,B13,B17,B20,B21)</x:f>
        <x:v>11913.6</x:v>
      </x:c>
      <x:c r="C22" s="80" t="n">
        <x:f>SUM(C10,C13,C17,C20,C21)</x:f>
        <x:v>146700.5</x:v>
      </x:c>
      <x:c r="D22" s="80" t="n">
        <x:f>SUM(D10,D13,D17,D20,D21)</x:f>
        <x:v>1024440</x:v>
      </x:c>
      <x:c r="E22" s="79" t="str">
        <x:v>$</x:v>
      </x:c>
      <x:c r="F22" s="79" t="str">
        <x:v>All streams before creator payout and COGS</x:v>
      </x:c>
      <x:c r="G22" s="65"/>
      <x:c r="H22" s="65"/>
    </x:row>
  </x:sheetData>
  <x:mergeCells>
    <x:mergeCell ref="A1:F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4.130000114440918" hidden="0" customWidth="1"/>
    <x:col min="6" max="6" width="41.04999923706055" hidden="0" customWidth="1"/>
  </x:cols>
  <x:sheetData>
    <x:row r="1" ht="25.5" customHeight="1">
      <x:c r="A1" s="4" t="str">
        <x:v>Costs, Gross Profit, and Cash Runway</x:v>
      </x:c>
      <x:c r="B1" s="4" t="str">
        <x:v>Costs, Gross Profit, and Cash Runway</x:v>
      </x:c>
      <x:c r="C1" s="4" t="str">
        <x:v>Costs, Gross Profit, and Cash Runway</x:v>
      </x:c>
      <x:c r="D1" s="4" t="str">
        <x:v>Costs, Gross Profit, and Cash Runway</x:v>
      </x:c>
      <x:c r="E1" s="4" t="str">
        <x:v>Costs, Gross Profit, and Cash Runway</x:v>
      </x:c>
      <x:c r="F1" s="4" t="str">
        <x:v>Costs, Gross Profit, and Cash Runway</x:v>
      </x:c>
      <x:c r="G1" s="72"/>
      <x:c r="H1" s="72"/>
      <x:c r="I1" s="72"/>
      <x:c r="J1" s="72"/>
    </x:row>
    <x:row r="2" ht="16.5" customHeight="1">
      <x:c r="A2" s="64" t="str">
        <x:v>Formula-driven COGS, operating expenses, EBITDA, and ending cash.</x:v>
      </x:c>
      <x:c r="B2" s="64" t="str">
        <x:v>Formula-driven COGS, operating expenses, EBITDA, and ending cash.</x:v>
      </x:c>
      <x:c r="C2" s="64" t="str">
        <x:v>Formula-driven COGS, operating expenses, EBITDA, and ending cash.</x:v>
      </x:c>
      <x:c r="D2" s="64" t="str">
        <x:v>Formula-driven COGS, operating expenses, EBITDA, and ending cash.</x:v>
      </x:c>
      <x:c r="E2" s="64" t="str">
        <x:v>Formula-driven COGS, operating expenses, EBITDA, and ending cash.</x:v>
      </x:c>
      <x:c r="F2" s="64" t="str">
        <x:v>Formula-driven COGS, operating expenses, EBITDA, and ending cash.</x:v>
      </x:c>
      <x:c r="G2" s="64" t="str">
        <x:v>Formula-driven COGS, operating expenses, EBITDA, and ending cash.</x:v>
      </x:c>
      <x:c r="H2" s="64" t="str">
        <x:v>Formula-driven COGS, operating expenses, EBITDA, and ending cash.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Metric</x:v>
      </x:c>
      <x:c r="B4" s="66" t="n">
        <x:v>2026</x:v>
      </x:c>
      <x:c r="C4" s="66" t="n">
        <x:v>2027</x:v>
      </x:c>
      <x:c r="D4" s="66" t="n">
        <x:v>2028</x:v>
      </x:c>
      <x:c r="E4" s="66" t="str">
        <x:v>Unit</x:v>
      </x:c>
      <x:c r="F4" s="66" t="str">
        <x:v>Formula / Notes</x:v>
      </x:c>
      <x:c r="G4" s="65"/>
      <x:c r="H4" s="65"/>
    </x:row>
    <x:row r="5">
      <x:c r="A5" s="67" t="str">
        <x:v>Total gross billings</x:v>
      </x:c>
      <x:c r="B5" s="69" t="n">
        <x:f>'Revenue Model'!B22</x:f>
        <x:v>11913.6</x:v>
      </x:c>
      <x:c r="C5" s="69" t="n">
        <x:f>'Revenue Model'!C22</x:f>
        <x:v>146700.5</x:v>
      </x:c>
      <x:c r="D5" s="69" t="n">
        <x:f>'Revenue Model'!D22</x:f>
        <x:v>1024440</x:v>
      </x:c>
      <x:c r="E5" s="67" t="str">
        <x:v>$</x:v>
      </x:c>
      <x:c r="F5" s="67" t="str">
        <x:v>From Revenue Model</x:v>
      </x:c>
      <x:c r="G5" s="65"/>
      <x:c r="H5" s="65"/>
    </x:row>
    <x:row r="6">
      <x:c r="A6" s="67" t="str">
        <x:v>Creator payouts</x:v>
      </x:c>
      <x:c r="B6" s="69" t="n">
        <x:f>'Revenue Model'!B10*INDEX(Assumptions!$B$17:$D$17,1,MATCH(Assumptions!$B$5,Assumptions!$B$11:$D$11,0))</x:f>
        <x:v>1053.3600000000001</x:v>
      </x:c>
      <x:c r="C6" s="69" t="n">
        <x:f>'Revenue Model'!C10*INDEX(Assumptions!$B$17:$D$17,1,MATCH(Assumptions!$B$5,Assumptions!$B$11:$D$11,0))</x:f>
        <x:v>17595.900000000005</x:v>
      </x:c>
      <x:c r="D6" s="69" t="n">
        <x:f>'Revenue Model'!D10*INDEX(Assumptions!$B$17:$D$17,1,MATCH(Assumptions!$B$5,Assumptions!$B$11:$D$11,0))</x:f>
        <x:v>143640</x:v>
      </x:c>
      <x:c r="E6" s="67" t="str">
        <x:v>$</x:v>
      </x:c>
      <x:c r="F6" s="67" t="str">
        <x:v>Payout share applied to reader unlock GMV only</x:v>
      </x:c>
      <x:c r="G6" s="65"/>
      <x:c r="H6" s="65"/>
    </x:row>
    <x:row r="7">
      <x:c r="A7" s="67" t="str">
        <x:v>Payment processing</x:v>
      </x:c>
      <x:c r="B7" s="69" t="n">
        <x:f>B5*INDEX(Assumptions!$B$18:$D$18,1,MATCH(Assumptions!$B$5,Assumptions!$B$11:$D$11,0))</x:f>
        <x:v>416.97600000000006</x:v>
      </x:c>
      <x:c r="C7" s="69" t="n">
        <x:f>C5*INDEX(Assumptions!$B$18:$D$18,1,MATCH(Assumptions!$B$5,Assumptions!$B$11:$D$11,0))</x:f>
        <x:v>5134.517500000001</x:v>
      </x:c>
      <x:c r="D7" s="69" t="n">
        <x:f>D5*INDEX(Assumptions!$B$18:$D$18,1,MATCH(Assumptions!$B$5,Assumptions!$B$11:$D$11,0))</x:f>
        <x:v>35855.4</x:v>
      </x:c>
      <x:c r="E7" s="67" t="str">
        <x:v>$</x:v>
      </x:c>
      <x:c r="F7" s="67" t="str">
        <x:v>Payment fee x gross billings</x:v>
      </x:c>
      <x:c r="G7" s="65"/>
      <x:c r="H7" s="65"/>
    </x:row>
    <x:row r="8">
      <x:c r="A8" s="67" t="str">
        <x:v>AI voice / storage COGS</x:v>
      </x:c>
      <x:c r="B8" s="69" t="n">
        <x:f>B5*INDEX(Assumptions!$B$19:$D$19,1,MATCH(Assumptions!$B$5,Assumptions!$B$11:$D$11,0))</x:f>
        <x:v>833.9520000000001</x:v>
      </x:c>
      <x:c r="C8" s="69" t="n">
        <x:f>C5*INDEX(Assumptions!$B$19:$D$19,1,MATCH(Assumptions!$B$5,Assumptions!$B$11:$D$11,0))</x:f>
        <x:v>10269.035000000002</x:v>
      </x:c>
      <x:c r="D8" s="69" t="n">
        <x:f>D5*INDEX(Assumptions!$B$19:$D$19,1,MATCH(Assumptions!$B$5,Assumptions!$B$11:$D$11,0))</x:f>
        <x:v>71710.8</x:v>
      </x:c>
      <x:c r="E8" s="67" t="str">
        <x:v>$</x:v>
      </x:c>
      <x:c r="F8" s="67" t="str">
        <x:v>COGS rate x gross billings</x:v>
      </x:c>
      <x:c r="G8" s="65"/>
      <x:c r="H8" s="65"/>
    </x:row>
    <x:row r="9">
      <x:c r="A9" s="67" t="str">
        <x:v>Support / moderation COGS</x:v>
      </x:c>
      <x:c r="B9" s="69" t="n">
        <x:f>B5*INDEX(Assumptions!$B$20:$D$20,1,MATCH(Assumptions!$B$5,Assumptions!$B$11:$D$11,0))</x:f>
        <x:v>297.84000000000003</x:v>
      </x:c>
      <x:c r="C9" s="69" t="n">
        <x:f>C5*INDEX(Assumptions!$B$20:$D$20,1,MATCH(Assumptions!$B$5,Assumptions!$B$11:$D$11,0))</x:f>
        <x:v>3667.5125000000003</x:v>
      </x:c>
      <x:c r="D9" s="69" t="n">
        <x:f>D5*INDEX(Assumptions!$B$20:$D$20,1,MATCH(Assumptions!$B$5,Assumptions!$B$11:$D$11,0))</x:f>
        <x:v>25611</x:v>
      </x:c>
      <x:c r="E9" s="67" t="str">
        <x:v>$</x:v>
      </x:c>
      <x:c r="F9" s="67" t="str">
        <x:v>COGS rate x gross billings</x:v>
      </x:c>
      <x:c r="G9" s="65"/>
      <x:c r="H9" s="65"/>
    </x:row>
    <x:row r="10">
      <x:c r="A10" s="79" t="str">
        <x:v>Total COGS</x:v>
      </x:c>
      <x:c r="B10" s="80" t="n">
        <x:f>SUM(B6:B9)</x:f>
        <x:v>2602.1280000000006</x:v>
      </x:c>
      <x:c r="C10" s="80" t="n">
        <x:f>SUM(C6:C9)</x:f>
        <x:v>36666.965000000004</x:v>
      </x:c>
      <x:c r="D10" s="80" t="n">
        <x:f>SUM(D6:D9)</x:f>
        <x:v>276817.2</x:v>
      </x:c>
      <x:c r="E10" s="79" t="str">
        <x:v>$</x:v>
      </x:c>
      <x:c r="F10" s="79" t="str">
        <x:v>Creator payouts + platform COGS</x:v>
      </x:c>
      <x:c r="G10" s="65"/>
      <x:c r="H10" s="65"/>
    </x:row>
    <x:row r="11">
      <x:c r="A11" s="79" t="str">
        <x:v>Gross profit</x:v>
      </x:c>
      <x:c r="B11" s="80" t="n">
        <x:f>B5-B10</x:f>
        <x:v>9311.472</x:v>
      </x:c>
      <x:c r="C11" s="80" t="n">
        <x:f>C5-C10</x:f>
        <x:v>110033.535</x:v>
      </x:c>
      <x:c r="D11" s="80" t="n">
        <x:f>D5-D10</x:f>
        <x:v>747622.8</x:v>
      </x:c>
      <x:c r="E11" s="79" t="str">
        <x:v>$</x:v>
      </x:c>
      <x:c r="F11" s="79" t="str">
        <x:v>Gross billings - COGS</x:v>
      </x:c>
      <x:c r="G11" s="65"/>
      <x:c r="H11" s="65"/>
    </x:row>
    <x:row r="12">
      <x:c r="A12" s="67" t="str">
        <x:v>Gross margin</x:v>
      </x:c>
      <x:c r="B12" s="70" t="n">
        <x:f>IFERROR(B11/B5,0)</x:f>
        <x:v>0.7815834004834811</x:v>
      </x:c>
      <x:c r="C12" s="70" t="n">
        <x:f>IFERROR(C11/C5,0)</x:f>
        <x:v>0.7500556235322988</x:v>
      </x:c>
      <x:c r="D12" s="70" t="n">
        <x:f>IFERROR(D11/D5,0)</x:f>
        <x:v>0.7297868103549257</x:v>
      </x:c>
      <x:c r="E12" s="67" t="str">
        <x:v>%</x:v>
      </x:c>
      <x:c r="F12" s="67" t="str">
        <x:v>Gross profit / gross billings</x:v>
      </x:c>
      <x:c r="G12" s="65"/>
      <x:c r="H12" s="65"/>
    </x:row>
    <x:row r="13">
      <x:c r="A13" s="67" t="str">
        <x:v>Founder / core payroll</x:v>
      </x:c>
      <x:c r="B13" s="69" t="n">
        <x:f>Assumptions!I20</x:f>
        <x:v>36000</x:v>
      </x:c>
      <x:c r="C13" s="69" t="n">
        <x:f>Assumptions!J20</x:f>
        <x:v>90000</x:v>
      </x:c>
      <x:c r="D13" s="69" t="n">
        <x:f>Assumptions!K20</x:f>
        <x:v>180000</x:v>
      </x:c>
      <x:c r="E13" s="67" t="str">
        <x:v>$</x:v>
      </x:c>
      <x:c r="F13" s="67" t="str">
        <x:v>From Assumptions</x:v>
      </x:c>
      <x:c r="G13" s="65"/>
      <x:c r="H13" s="65"/>
    </x:row>
    <x:row r="14">
      <x:c r="A14" s="67" t="str">
        <x:v>Engineering &amp; infrastructure</x:v>
      </x:c>
      <x:c r="B14" s="69" t="n">
        <x:f>Assumptions!I21</x:f>
        <x:v>12000</x:v>
      </x:c>
      <x:c r="C14" s="69" t="n">
        <x:f>Assumptions!J21</x:f>
        <x:v>30000</x:v>
      </x:c>
      <x:c r="D14" s="69" t="n">
        <x:f>Assumptions!K21</x:f>
        <x:v>75000</x:v>
      </x:c>
      <x:c r="E14" s="67" t="str">
        <x:v>$</x:v>
      </x:c>
      <x:c r="F14" s="67" t="str">
        <x:v>From Assumptions</x:v>
      </x:c>
      <x:c r="G14" s="65"/>
      <x:c r="H14" s="65"/>
    </x:row>
    <x:row r="15">
      <x:c r="A15" s="67" t="str">
        <x:v>Content seeding / production</x:v>
      </x:c>
      <x:c r="B15" s="69" t="n">
        <x:f>Assumptions!I22</x:f>
        <x:v>10000</x:v>
      </x:c>
      <x:c r="C15" s="69" t="n">
        <x:f>Assumptions!J22</x:f>
        <x:v>30000</x:v>
      </x:c>
      <x:c r="D15" s="69" t="n">
        <x:f>Assumptions!K22</x:f>
        <x:v>80000</x:v>
      </x:c>
      <x:c r="E15" s="67" t="str">
        <x:v>$</x:v>
      </x:c>
      <x:c r="F15" s="67" t="str">
        <x:v>From Assumptions</x:v>
      </x:c>
      <x:c r="G15" s="65"/>
      <x:c r="H15" s="65"/>
    </x:row>
    <x:row r="16">
      <x:c r="A16" s="67" t="str">
        <x:v>Marketing spend</x:v>
      </x:c>
      <x:c r="B16" s="69" t="n">
        <x:f>Assumptions!I23</x:f>
        <x:v>15000</x:v>
      </x:c>
      <x:c r="C16" s="69" t="n">
        <x:f>Assumptions!J23</x:f>
        <x:v>65000</x:v>
      </x:c>
      <x:c r="D16" s="69" t="n">
        <x:f>Assumptions!K23</x:f>
        <x:v>220000</x:v>
      </x:c>
      <x:c r="E16" s="67" t="str">
        <x:v>$</x:v>
      </x:c>
      <x:c r="F16" s="67" t="str">
        <x:v>From Assumptions</x:v>
      </x:c>
      <x:c r="G16" s="65"/>
      <x:c r="H16" s="65"/>
    </x:row>
    <x:row r="17">
      <x:c r="A17" s="67" t="str">
        <x:v>Legal, compliance, admin</x:v>
      </x:c>
      <x:c r="B17" s="69" t="n">
        <x:f>Assumptions!I24</x:f>
        <x:v>8000</x:v>
      </x:c>
      <x:c r="C17" s="69" t="n">
        <x:f>Assumptions!J24</x:f>
        <x:v>18000</x:v>
      </x:c>
      <x:c r="D17" s="69" t="n">
        <x:f>Assumptions!K24</x:f>
        <x:v>45000</x:v>
      </x:c>
      <x:c r="E17" s="67" t="str">
        <x:v>$</x:v>
      </x:c>
      <x:c r="F17" s="67" t="str">
        <x:v>From Assumptions</x:v>
      </x:c>
      <x:c r="G17" s="65"/>
      <x:c r="H17" s="65"/>
    </x:row>
    <x:row r="18">
      <x:c r="A18" s="67" t="str">
        <x:v>Customer success / moderation</x:v>
      </x:c>
      <x:c r="B18" s="69" t="n">
        <x:f>Assumptions!I25</x:f>
        <x:v>5000</x:v>
      </x:c>
      <x:c r="C18" s="69" t="n">
        <x:f>Assumptions!J25</x:f>
        <x:v>18000</x:v>
      </x:c>
      <x:c r="D18" s="69" t="n">
        <x:f>Assumptions!K25</x:f>
        <x:v>60000</x:v>
      </x:c>
      <x:c r="E18" s="67" t="str">
        <x:v>$</x:v>
      </x:c>
      <x:c r="F18" s="67" t="str">
        <x:v>From Assumptions</x:v>
      </x:c>
      <x:c r="G18" s="65"/>
      <x:c r="H18" s="65"/>
    </x:row>
    <x:row r="19">
      <x:c r="A19" s="67" t="str">
        <x:v>Other G&amp;A</x:v>
      </x:c>
      <x:c r="B19" s="69" t="n">
        <x:f>Assumptions!I26</x:f>
        <x:v>4000</x:v>
      </x:c>
      <x:c r="C19" s="69" t="n">
        <x:f>Assumptions!J26</x:f>
        <x:v>10000</x:v>
      </x:c>
      <x:c r="D19" s="69" t="n">
        <x:f>Assumptions!K26</x:f>
        <x:v>25000</x:v>
      </x:c>
      <x:c r="E19" s="67" t="str">
        <x:v>$</x:v>
      </x:c>
      <x:c r="F19" s="67" t="str">
        <x:v>From Assumptions</x:v>
      </x:c>
      <x:c r="G19" s="65"/>
      <x:c r="H19" s="65"/>
    </x:row>
    <x:row r="20">
      <x:c r="A20" s="79" t="str">
        <x:v>Total operating expenses</x:v>
      </x:c>
      <x:c r="B20" s="80" t="n">
        <x:f>SUM(B13:B19)</x:f>
        <x:v>90000</x:v>
      </x:c>
      <x:c r="C20" s="80" t="n">
        <x:f>SUM(C13:C19)</x:f>
        <x:v>261000</x:v>
      </x:c>
      <x:c r="D20" s="80" t="n">
        <x:f>SUM(D13:D19)</x:f>
        <x:v>685000</x:v>
      </x:c>
      <x:c r="E20" s="79" t="str">
        <x:v>$</x:v>
      </x:c>
      <x:c r="F20" s="79" t="str">
        <x:v>Opex subtotal</x:v>
      </x:c>
      <x:c r="G20" s="65"/>
      <x:c r="H20" s="65"/>
    </x:row>
    <x:row r="21">
      <x:c r="A21" s="79" t="str">
        <x:v>EBITDA</x:v>
      </x:c>
      <x:c r="B21" s="80" t="n">
        <x:f>B11-B20</x:f>
        <x:v>-80688.528</x:v>
      </x:c>
      <x:c r="C21" s="80" t="n">
        <x:f>C11-C20</x:f>
        <x:v>-150966.465</x:v>
      </x:c>
      <x:c r="D21" s="80" t="n">
        <x:f>D11-D20</x:f>
        <x:v>62622.80000000005</x:v>
      </x:c>
      <x:c r="E21" s="79" t="str">
        <x:v>$</x:v>
      </x:c>
      <x:c r="F21" s="79" t="str">
        <x:v>Gross profit - operating expenses</x:v>
      </x:c>
      <x:c r="G21" s="65"/>
      <x:c r="H21" s="65"/>
    </x:row>
    <x:row r="22">
      <x:c r="A22" s="67" t="str">
        <x:v>EBITDA margin</x:v>
      </x:c>
      <x:c r="B22" s="70" t="n">
        <x:f>IFERROR(B21/B5,0)</x:f>
        <x:v>-6.772808219178082</x:v>
      </x:c>
      <x:c r="C22" s="70" t="n">
        <x:f>IFERROR(C21/C5,0)</x:f>
        <x:v>-1.0290794169072361</x:v>
      </x:c>
      <x:c r="D22" s="70" t="n">
        <x:f>IFERROR(D21/D5,0)</x:f>
        <x:v>0.06112881183866312</x:v>
      </x:c>
      <x:c r="E22" s="67" t="str">
        <x:v>%</x:v>
      </x:c>
      <x:c r="F22" s="67" t="str">
        <x:v>EBITDA / gross billings</x:v>
      </x:c>
      <x:c r="G22" s="65"/>
      <x:c r="H22" s="65"/>
    </x:row>
    <x:row r="23">
      <x:c r="A23" s="67" t="str">
        <x:v>Starting cash / prior ending cash</x:v>
      </x:c>
      <x:c r="B23" s="69" t="n">
        <x:f>INDEX(Assumptions!$B$21:$D$21,1,MATCH(Assumptions!$B$5,Assumptions!$B$11:$D$11,0))</x:f>
        <x:v>25000</x:v>
      </x:c>
      <x:c r="C23" s="69" t="n">
        <x:f>B24</x:f>
        <x:v>-55688.528000000006</x:v>
      </x:c>
      <x:c r="D23" s="69" t="n">
        <x:f>C24</x:f>
        <x:v>-206654.99300000002</x:v>
      </x:c>
      <x:c r="E23" s="67" t="str">
        <x:v>$</x:v>
      </x:c>
      <x:c r="F23" s="67" t="str">
        <x:v>Starting cash then prior year cash</x:v>
      </x:c>
      <x:c r="G23" s="65"/>
      <x:c r="H23" s="65"/>
    </x:row>
    <x:row r="24">
      <x:c r="A24" s="67" t="str">
        <x:v>Ending cash before financing</x:v>
      </x:c>
      <x:c r="B24" s="69" t="n">
        <x:f>B23+B21</x:f>
        <x:v>-55688.528000000006</x:v>
      </x:c>
      <x:c r="C24" s="69" t="n">
        <x:f>C23+C21</x:f>
        <x:v>-206654.99300000002</x:v>
      </x:c>
      <x:c r="D24" s="69" t="n">
        <x:f>D23+D21</x:f>
        <x:v>-144032.19299999997</x:v>
      </x:c>
      <x:c r="E24" s="67" t="str">
        <x:v>$</x:v>
      </x:c>
      <x:c r="F24" s="67" t="str">
        <x:v>Prior cash + EBITDA</x:v>
      </x:c>
      <x:c r="G24" s="65"/>
      <x:c r="H24" s="65"/>
    </x:row>
    <x:row r="25">
      <x:c r="A25" s="81" t="str">
        <x:v>Minimum funding required</x:v>
      </x:c>
      <x:c r="B25" s="82" t="n">
        <x:f>MAX(0,-B24)</x:f>
        <x:v>55688.528000000006</x:v>
      </x:c>
      <x:c r="C25" s="82" t="n">
        <x:f>MAX(0,-C24)</x:f>
        <x:v>206654.99300000002</x:v>
      </x:c>
      <x:c r="D25" s="82" t="n">
        <x:f>MAX(0,-D24)</x:f>
        <x:v>144032.19299999997</x:v>
      </x:c>
      <x:c r="E25" s="81" t="str">
        <x:v>$</x:v>
      </x:c>
      <x:c r="F25" s="81" t="str">
        <x:v>Cash needed to avoid negative ending cash</x:v>
      </x:c>
      <x:c r="G25" s="65"/>
      <x:c r="H25" s="65"/>
    </x:row>
  </x:sheetData>
  <x:mergeCells>
    <x:mergeCell ref="A1:F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38.36000061035156" hidden="0" customWidth="1"/>
  </x:cols>
  <x:sheetData>
    <x:row r="1" ht="25.5" customHeight="1">
      <x:c r="A1" s="4" t="str">
        <x:v>Marketing Funnel and Growth Economics</x:v>
      </x:c>
      <x:c r="B1" s="4" t="str">
        <x:v>Marketing Funnel and Growth Economics</x:v>
      </x:c>
      <x:c r="C1" s="4" t="str">
        <x:v>Marketing Funnel and Growth Economics</x:v>
      </x:c>
      <x:c r="D1" s="4" t="str">
        <x:v>Marketing Funnel and Growth Economics</x:v>
      </x:c>
      <x:c r="E1" s="4" t="str">
        <x:v>Marketing Funnel and Growth Economics</x:v>
      </x:c>
      <x:c r="F1" s="4" t="str">
        <x:v>Marketing Funnel and Growth Economics</x:v>
      </x:c>
      <x:c r="G1" s="72"/>
      <x:c r="H1" s="72"/>
      <x:c r="I1" s="72"/>
      <x:c r="J1" s="72"/>
      <x:c r="K1" s="65"/>
      <x:c r="L1" s="65"/>
      <x:c r="M1" s="65"/>
    </x:row>
    <x:row r="2" ht="16.5" customHeight="1">
      <x:c r="A2" s="64" t="str">
        <x:v>Channel assumptions for launch testing and CAC discipline.</x:v>
      </x:c>
      <x:c r="B2" s="64" t="str">
        <x:v>Channel assumptions for launch testing and CAC discipline.</x:v>
      </x:c>
      <x:c r="C2" s="64" t="str">
        <x:v>Channel assumptions for launch testing and CAC discipline.</x:v>
      </x:c>
      <x:c r="D2" s="64" t="str">
        <x:v>Channel assumptions for launch testing and CAC discipline.</x:v>
      </x:c>
      <x:c r="E2" s="64" t="str">
        <x:v>Channel assumptions for launch testing and CAC discipline.</x:v>
      </x:c>
      <x:c r="F2" s="64" t="str">
        <x:v>Channel assumptions for launch testing and CAC discipline.</x:v>
      </x:c>
      <x:c r="G2" s="64" t="str">
        <x:v>Channel assumptions for launch testing and CAC discipline.</x:v>
      </x:c>
      <x:c r="H2" s="64" t="str">
        <x:v>Channel assumptions for launch testing and CAC discipline.</x:v>
      </x:c>
      <x:c r="I2" s="65"/>
      <x:c r="J2" s="65"/>
      <x:c r="K2" s="65"/>
      <x:c r="L2" s="65"/>
      <x:c r="M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M3" s="65"/>
    </x:row>
    <x:row r="4">
      <x:c r="A4" s="66" t="str">
        <x:v>Channel</x:v>
      </x:c>
      <x:c r="B4" s="66" t="str">
        <x:v>Budget 2026</x:v>
      </x:c>
      <x:c r="C4" s="66" t="str">
        <x:v>CPC / Cost</x:v>
      </x:c>
      <x:c r="D4" s="66" t="str">
        <x:v>Lead Conv.</x:v>
      </x:c>
      <x:c r="E4" s="66" t="str">
        <x:v>Paid Conv.</x:v>
      </x:c>
      <x:c r="F4" s="66" t="str">
        <x:v>Notes</x:v>
      </x:c>
      <x:c r="G4" s="65"/>
      <x:c r="H4" s="66" t="str">
        <x:v>Channel</x:v>
      </x:c>
      <x:c r="I4" s="66" t="str">
        <x:v>Clicks</x:v>
      </x:c>
      <x:c r="J4" s="66" t="str">
        <x:v>Leads</x:v>
      </x:c>
      <x:c r="K4" s="66" t="str">
        <x:v>Paid Users</x:v>
      </x:c>
      <x:c r="L4" s="66" t="str">
        <x:v>CAC</x:v>
      </x:c>
      <x:c r="M4" s="66" t="str">
        <x:v>2026 Revenue Payback</x:v>
      </x:c>
    </x:row>
    <x:row r="5">
      <x:c r="A5" s="67" t="str">
        <x:v>TikTok / Reels paid tests</x:v>
      </x:c>
      <x:c r="B5" s="75" t="n">
        <x:v>6000</x:v>
      </x:c>
      <x:c r="C5" s="75" t="n">
        <x:v>0.55</x:v>
      </x:c>
      <x:c r="D5" s="76" t="n">
        <x:v>0.08</x:v>
      </x:c>
      <x:c r="E5" s="76" t="n">
        <x:v>0.04</x:v>
      </x:c>
      <x:c r="F5" s="67" t="str">
        <x:v>Short demos comparing ebook vs PageCast</x:v>
      </x:c>
      <x:c r="G5" s="65"/>
      <x:c r="H5" s="67" t="str">
        <x:f>A5</x:f>
        <x:v>TikTok / Reels paid tests</x:v>
      </x:c>
      <x:c r="I5" s="68" t="n">
        <x:f>IFERROR(B5/C5,0)</x:f>
        <x:v>10909.090909090908</x:v>
      </x:c>
      <x:c r="J5" s="68" t="n">
        <x:f>I5*D5</x:f>
        <x:v>872.7272727272726</x:v>
      </x:c>
      <x:c r="K5" s="68" t="n">
        <x:f>J5*E5</x:f>
        <x:v>34.90909090909091</x:v>
      </x:c>
      <x:c r="L5" s="69" t="n">
        <x:f>IFERROR(B5/K5,0)</x:f>
        <x:v>171.875</x:v>
      </x:c>
      <x:c r="M5" s="78" t="n">
        <x:f>IFERROR(('Revenue Model'!B22/'Revenue Model'!B7)/L5,0)</x:f>
        <x:v>0.3465774545454546</x:v>
      </x:c>
    </x:row>
    <x:row r="6">
      <x:c r="A6" s="67" t="str">
        <x:v>Parent / Islamic community creators</x:v>
      </x:c>
      <x:c r="B6" s="75" t="n">
        <x:v>3500</x:v>
      </x:c>
      <x:c r="C6" s="75" t="n">
        <x:v>0.4</x:v>
      </x:c>
      <x:c r="D6" s="76" t="n">
        <x:v>0.12</x:v>
      </x:c>
      <x:c r="E6" s="76" t="n">
        <x:v>0.06</x:v>
      </x:c>
      <x:c r="F6" s="67" t="str">
        <x:v>WhatsApp, Facebook, creator collabs</x:v>
      </x:c>
      <x:c r="G6" s="65"/>
      <x:c r="H6" s="67" t="str">
        <x:f>A6</x:f>
        <x:v>Parent / Islamic community creators</x:v>
      </x:c>
      <x:c r="I6" s="68" t="n">
        <x:f>IFERROR(B6/C6,0)</x:f>
        <x:v>8750</x:v>
      </x:c>
      <x:c r="J6" s="68" t="n">
        <x:f>I6*D6</x:f>
        <x:v>1050</x:v>
      </x:c>
      <x:c r="K6" s="68" t="n">
        <x:f>J6*E6</x:f>
        <x:v>63</x:v>
      </x:c>
      <x:c r="L6" s="69" t="n">
        <x:f>IFERROR(B6/K6,0)</x:f>
        <x:v>55.55555555555556</x:v>
      </x:c>
      <x:c r="M6" s="78" t="n">
        <x:f>IFERROR(('Revenue Model'!B22/'Revenue Model'!B7)/L6,0)</x:f>
        <x:v>1.072224</x:v>
      </x:c>
    </x:row>
    <x:row r="7">
      <x:c r="A7" s="67" t="str">
        <x:v>Teacher / homeschool outreach</x:v>
      </x:c>
      <x:c r="B7" s="75" t="n">
        <x:v>2500</x:v>
      </x:c>
      <x:c r="C7" s="75" t="n">
        <x:v>1.5</x:v>
      </x:c>
      <x:c r="D7" s="76" t="n">
        <x:v>0.18</x:v>
      </x:c>
      <x:c r="E7" s="76" t="n">
        <x:v>0.08</x:v>
      </x:c>
      <x:c r="F7" s="67" t="str">
        <x:v>Demo bundles and classroom trials</x:v>
      </x:c>
      <x:c r="G7" s="65"/>
      <x:c r="H7" s="67" t="str">
        <x:f>A7</x:f>
        <x:v>Teacher / homeschool outreach</x:v>
      </x:c>
      <x:c r="I7" s="68" t="n">
        <x:f>IFERROR(B7/C7,0)</x:f>
        <x:v>1666.6666666666667</x:v>
      </x:c>
      <x:c r="J7" s="68" t="n">
        <x:f>I7*D7</x:f>
        <x:v>300</x:v>
      </x:c>
      <x:c r="K7" s="68" t="n">
        <x:f>J7*E7</x:f>
        <x:v>24</x:v>
      </x:c>
      <x:c r="L7" s="69" t="n">
        <x:f>IFERROR(B7/K7,0)</x:f>
        <x:v>104.16666666666667</x:v>
      </x:c>
      <x:c r="M7" s="78" t="n">
        <x:f>IFERROR(('Revenue Model'!B22/'Revenue Model'!B7)/L7,0)</x:f>
        <x:v>0.5718528</x:v>
      </x:c>
    </x:row>
    <x:row r="8">
      <x:c r="A8" s="67" t="str">
        <x:v>Organic content / SEO</x:v>
      </x:c>
      <x:c r="B8" s="75" t="n">
        <x:v>1500</x:v>
      </x:c>
      <x:c r="C8" s="75" t="n">
        <x:v>0.15</x:v>
      </x:c>
      <x:c r="D8" s="76" t="n">
        <x:v>0.06</x:v>
      </x:c>
      <x:c r="E8" s="76" t="n">
        <x:v>0.03</x:v>
      </x:c>
      <x:c r="F8" s="67" t="str">
        <x:v>Story samples, read-aloud articles</x:v>
      </x:c>
      <x:c r="G8" s="65"/>
      <x:c r="H8" s="67" t="str">
        <x:f>A8</x:f>
        <x:v>Organic content / SEO</x:v>
      </x:c>
      <x:c r="I8" s="68" t="n">
        <x:f>IFERROR(B8/C8,0)</x:f>
        <x:v>10000</x:v>
      </x:c>
      <x:c r="J8" s="68" t="n">
        <x:f>I8*D8</x:f>
        <x:v>600</x:v>
      </x:c>
      <x:c r="K8" s="68" t="n">
        <x:f>J8*E8</x:f>
        <x:v>18</x:v>
      </x:c>
      <x:c r="L8" s="69" t="n">
        <x:f>IFERROR(B8/K8,0)</x:f>
        <x:v>83.33333333333333</x:v>
      </x:c>
      <x:c r="M8" s="78" t="n">
        <x:f>IFERROR(('Revenue Model'!B22/'Revenue Model'!B7)/L8,0)</x:f>
        <x:v>0.7148160000000001</x:v>
      </x:c>
    </x:row>
    <x:row r="9">
      <x:c r="A9" s="67" t="str">
        <x:v>Creator acquisition</x:v>
      </x:c>
      <x:c r="B9" s="75" t="n">
        <x:v>1500</x:v>
      </x:c>
      <x:c r="C9" s="75" t="n">
        <x:v>1.2</x:v>
      </x:c>
      <x:c r="D9" s="76" t="n">
        <x:v>0.1</x:v>
      </x:c>
      <x:c r="E9" s="76" t="n">
        <x:v>0.05</x:v>
      </x:c>
      <x:c r="F9" s="67" t="str">
        <x:v>Authors, narrators, educators</x:v>
      </x:c>
      <x:c r="G9" s="65"/>
      <x:c r="H9" s="67" t="str">
        <x:f>A9</x:f>
        <x:v>Creator acquisition</x:v>
      </x:c>
      <x:c r="I9" s="68" t="n">
        <x:f>IFERROR(B9/C9,0)</x:f>
        <x:v>1250</x:v>
      </x:c>
      <x:c r="J9" s="68" t="n">
        <x:f>I9*D9</x:f>
        <x:v>125</x:v>
      </x:c>
      <x:c r="K9" s="68" t="n">
        <x:f>J9*E9</x:f>
        <x:v>6.25</x:v>
      </x:c>
      <x:c r="L9" s="69" t="n">
        <x:f>IFERROR(B9/K9,0)</x:f>
        <x:v>240</x:v>
      </x:c>
      <x:c r="M9" s="78" t="n">
        <x:f>IFERROR(('Revenue Model'!B22/'Revenue Model'!B7)/L9,0)</x:f>
        <x:v>0.24820000000000003</x:v>
      </x:c>
    </x:row>
    <x:row r="10">
      <x:c r="A10" s="65"/>
      <x:c r="B10" s="65"/>
      <x:c r="C10" s="65"/>
      <x:c r="D10" s="65"/>
      <x:c r="E10" s="65"/>
      <x:c r="F10" s="65"/>
      <x:c r="G10" s="65"/>
      <x:c r="H10" s="79" t="str">
        <x:v>Total / Weighted</x:v>
      </x:c>
      <x:c r="I10" s="83" t="n">
        <x:f>SUM(I5:I9)</x:f>
        <x:v>32575.757575757576</x:v>
      </x:c>
      <x:c r="J10" s="83" t="n">
        <x:f>SUM(J5:J9)</x:f>
        <x:v>2947.7272727272725</x:v>
      </x:c>
      <x:c r="K10" s="83" t="n">
        <x:f>SUM(K5:K9)</x:f>
        <x:v>146.1590909090909</x:v>
      </x:c>
      <x:c r="L10" s="80" t="n">
        <x:f>IFERROR(SUM(B5:B9)/K10,0)</x:f>
        <x:v>102.62789612812938</x:v>
      </x:c>
      <x:c r="M10" s="84" t="n">
        <x:f>IFERROR(('Revenue Model'!B22/'Revenue Model'!B7)/L10,0)</x:f>
        <x:v>0.5804269818181819</x:v>
      </x:c>
    </x:row>
  </x:sheetData>
  <x:mergeCells>
    <x:mergeCell ref="A1:F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4.130000114440918" hidden="0" customWidth="1"/>
    <x:col min="6" max="6" width="39.70000076293945" hidden="0" customWidth="1"/>
  </x:cols>
  <x:sheetData>
    <x:row r="1" ht="25.5" customHeight="1">
      <x:c r="A1" s="4" t="str">
        <x:v>Scenario Summary</x:v>
      </x:c>
      <x:c r="B1" s="4" t="str">
        <x:v>Scenario Summary</x:v>
      </x:c>
      <x:c r="C1" s="4" t="str">
        <x:v>Scenario Summary</x:v>
      </x:c>
      <x:c r="D1" s="4" t="str">
        <x:v>Scenario Summary</x:v>
      </x:c>
      <x:c r="E1" s="4" t="str">
        <x:v>Scenario Summary</x:v>
      </x:c>
      <x:c r="F1" s="4" t="str">
        <x:v>Scenario Summary</x:v>
      </x:c>
      <x:c r="G1" s="72"/>
      <x:c r="H1" s="72"/>
      <x:c r="I1" s="72"/>
      <x:c r="J1" s="72"/>
    </x:row>
    <x:row r="2" ht="16.5" customHeight="1">
      <x:c r="A2" s="64" t="str">
        <x:v>Three scenario views using the 2028 year as the target outcome.</x:v>
      </x:c>
      <x:c r="B2" s="64" t="str">
        <x:v>Three scenario views using the 2028 year as the target outcome.</x:v>
      </x:c>
      <x:c r="C2" s="64" t="str">
        <x:v>Three scenario views using the 2028 year as the target outcome.</x:v>
      </x:c>
      <x:c r="D2" s="64" t="str">
        <x:v>Three scenario views using the 2028 year as the target outcome.</x:v>
      </x:c>
      <x:c r="E2" s="64" t="str">
        <x:v>Three scenario views using the 2028 year as the target outcome.</x:v>
      </x:c>
      <x:c r="F2" s="64" t="str">
        <x:v>Three scenario views using the 2028 year as the target outcome.</x:v>
      </x:c>
      <x:c r="G2" s="64" t="str">
        <x:v>Three scenario views using the 2028 year as the target outcome.</x:v>
      </x:c>
      <x:c r="H2" s="64" t="str">
        <x:v>Three scenario views using the 2028 year as the target outcome.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Scenario</x:v>
      </x:c>
      <x:c r="B4" s="66" t="str">
        <x:v>2028 Revenue</x:v>
      </x:c>
      <x:c r="C4" s="66" t="str">
        <x:v>2028 EBITDA</x:v>
      </x:c>
      <x:c r="D4" s="66" t="str">
        <x:v>2028 Ending Cash</x:v>
      </x:c>
      <x:c r="E4" s="66" t="str">
        <x:v>Gross Margin</x:v>
      </x:c>
      <x:c r="F4" s="66" t="str">
        <x:v>Strategic Meaning</x:v>
      </x:c>
      <x:c r="G4" s="65"/>
      <x:c r="H4" s="65"/>
    </x:row>
    <x:row r="5">
      <x:c r="A5" s="67" t="str">
        <x:v>Downside</x:v>
      </x:c>
      <x:c r="B5" s="69" t="n">
        <x:f>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</x:f>
        <x:v>718780</x:v>
      </x:c>
      <x:c r="C5" s="69" t="n">
        <x:f>(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-(((INDEX(Assumptions!$I$8:$K$8,1,MATCH(A5,Assumptions!$I$5:$K$5,0))*Assumptions!$I$15)*Assumptions!$J$15*INDEX(Assumptions!$B$13:$D$13,1,MATCH(A5,Assumptions!$B$11:$D$11,0)))*INDEX(Assumptions!$B$17:$D$17,1,MATCH(A5,Assumptions!$B$11:$D$11,0))+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*(INDEX(Assumptions!$B$18:$D$18,1,MATCH(A5,Assumptions!$B$11:$D$11,0))+INDEX(Assumptions!$B$19:$D$19,1,MATCH(A5,Assumptions!$B$11:$D$11,0))+INDEX(Assumptions!$B$20:$D$20,1,MATCH(A5,Assumptions!$B$11:$D$11,0)))))-SUM(Assumptions!$K$20:$K$26)</x:f>
        <x:v>-138943.59999999998</x:v>
      </x:c>
      <x:c r="D5" s="69" t="n">
        <x:f>INDEX(Assumptions!$B$21:$D$21,1,MATCH(A5,Assumptions!$B$11:$D$11,0))+((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-(((INDEX(Assumptions!$I$8:$K$8,1,MATCH(A5,Assumptions!$I$5:$K$5,0))*Assumptions!$I$15)*Assumptions!$J$15*INDEX(Assumptions!$B$13:$D$13,1,MATCH(A5,Assumptions!$B$11:$D$11,0)))*INDEX(Assumptions!$B$17:$D$17,1,MATCH(A5,Assumptions!$B$11:$D$11,0))+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*(INDEX(Assumptions!$B$18:$D$18,1,MATCH(A5,Assumptions!$B$11:$D$11,0))+INDEX(Assumptions!$B$19:$D$19,1,MATCH(A5,Assumptions!$B$11:$D$11,0))+INDEX(Assumptions!$B$20:$D$20,1,MATCH(A5,Assumptions!$B$11:$D$11,0)))))-SUM(Assumptions!$K$20:$K$26))</x:f>
        <x:v>-123943.59999999998</x:v>
      </x:c>
      <x:c r="E5" s="70" t="n">
        <x:f>(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-(((INDEX(Assumptions!$I$8:$K$8,1,MATCH(A5,Assumptions!$I$5:$K$5,0))*Assumptions!$I$15)*Assumptions!$J$15*INDEX(Assumptions!$B$13:$D$13,1,MATCH(A5,Assumptions!$B$11:$D$11,0)))*INDEX(Assumptions!$B$17:$D$17,1,MATCH(A5,Assumptions!$B$11:$D$11,0))+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*(INDEX(Assumptions!$B$18:$D$18,1,MATCH(A5,Assumptions!$B$11:$D$11,0))+INDEX(Assumptions!$B$19:$D$19,1,MATCH(A5,Assumptions!$B$11:$D$11,0))+INDEX(Assumptions!$B$20:$D$20,1,MATCH(A5,Assumptions!$B$11:$D$11,0)))))/(((INDEX(Assumptions!$I$8:$K$8,1,MATCH(A5,Assumptions!$I$5:$K$5,0))*Assumptions!$I$15)*Assumptions!$J$15*INDEX(Assumptions!$B$13:$D$13,1,MATCH(A5,Assumptions!$B$11:$D$11,0)))+(Assumptions!$K$15*INDEX(Assumptions!$B$14:$D$14,1,MATCH(A5,Assumptions!$B$11:$D$11,0))*12)+(Assumptions!$L$15*Assumptions!$K$15*INDEX(Assumptions!$B$15:$D$15,1,MATCH(A5,Assumptions!$B$11:$D$11,0))*12/Assumptions!$K$15*0+Assumptions!$L$15*0.25*INDEX(Assumptions!$B$15:$D$15,1,MATCH(A5,Assumptions!$B$11:$D$11,0))*12)+(180*INDEX(Assumptions!$B$16:$D$16,1,MATCH(A5,Assumptions!$B$11:$D$11,0)))+75000)</x:f>
        <x:v>0.7596989343053507</x:v>
      </x:c>
      <x:c r="F5" s="67" t="str">
        <x:v>Validates survival plan and cost discipline</x:v>
      </x:c>
      <x:c r="G5" s="65"/>
      <x:c r="H5" s="65"/>
    </x:row>
    <x:row r="6">
      <x:c r="A6" s="67" t="str">
        <x:v>Base</x:v>
      </x:c>
      <x:c r="B6" s="69" t="n">
        <x:f>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</x:f>
        <x:v>1024440</x:v>
      </x:c>
      <x:c r="C6" s="69" t="n">
        <x:f>(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-(((INDEX(Assumptions!$I$8:$K$8,1,MATCH(A6,Assumptions!$I$5:$K$5,0))*Assumptions!$I$15)*Assumptions!$J$15*INDEX(Assumptions!$B$13:$D$13,1,MATCH(A6,Assumptions!$B$11:$D$11,0)))*INDEX(Assumptions!$B$17:$D$17,1,MATCH(A6,Assumptions!$B$11:$D$11,0))+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*(INDEX(Assumptions!$B$18:$D$18,1,MATCH(A6,Assumptions!$B$11:$D$11,0))+INDEX(Assumptions!$B$19:$D$19,1,MATCH(A6,Assumptions!$B$11:$D$11,0))+INDEX(Assumptions!$B$20:$D$20,1,MATCH(A6,Assumptions!$B$11:$D$11,0)))))-SUM(Assumptions!$K$20:$K$26)</x:f>
        <x:v>62622.80000000005</x:v>
      </x:c>
      <x:c r="D6" s="69" t="n">
        <x:f>INDEX(Assumptions!$B$21:$D$21,1,MATCH(A6,Assumptions!$B$11:$D$11,0))+((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-(((INDEX(Assumptions!$I$8:$K$8,1,MATCH(A6,Assumptions!$I$5:$K$5,0))*Assumptions!$I$15)*Assumptions!$J$15*INDEX(Assumptions!$B$13:$D$13,1,MATCH(A6,Assumptions!$B$11:$D$11,0)))*INDEX(Assumptions!$B$17:$D$17,1,MATCH(A6,Assumptions!$B$11:$D$11,0))+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*(INDEX(Assumptions!$B$18:$D$18,1,MATCH(A6,Assumptions!$B$11:$D$11,0))+INDEX(Assumptions!$B$19:$D$19,1,MATCH(A6,Assumptions!$B$11:$D$11,0))+INDEX(Assumptions!$B$20:$D$20,1,MATCH(A6,Assumptions!$B$11:$D$11,0)))))-SUM(Assumptions!$K$20:$K$26))</x:f>
        <x:v>87622.80000000005</x:v>
      </x:c>
      <x:c r="E6" s="70" t="n">
        <x:f>(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-(((INDEX(Assumptions!$I$8:$K$8,1,MATCH(A6,Assumptions!$I$5:$K$5,0))*Assumptions!$I$15)*Assumptions!$J$15*INDEX(Assumptions!$B$13:$D$13,1,MATCH(A6,Assumptions!$B$11:$D$11,0)))*INDEX(Assumptions!$B$17:$D$17,1,MATCH(A6,Assumptions!$B$11:$D$11,0))+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*(INDEX(Assumptions!$B$18:$D$18,1,MATCH(A6,Assumptions!$B$11:$D$11,0))+INDEX(Assumptions!$B$19:$D$19,1,MATCH(A6,Assumptions!$B$11:$D$11,0))+INDEX(Assumptions!$B$20:$D$20,1,MATCH(A6,Assumptions!$B$11:$D$11,0)))))/(((INDEX(Assumptions!$I$8:$K$8,1,MATCH(A6,Assumptions!$I$5:$K$5,0))*Assumptions!$I$15)*Assumptions!$J$15*INDEX(Assumptions!$B$13:$D$13,1,MATCH(A6,Assumptions!$B$11:$D$11,0)))+(Assumptions!$K$15*INDEX(Assumptions!$B$14:$D$14,1,MATCH(A6,Assumptions!$B$11:$D$11,0))*12)+(Assumptions!$L$15*Assumptions!$K$15*INDEX(Assumptions!$B$15:$D$15,1,MATCH(A6,Assumptions!$B$11:$D$11,0))*12/Assumptions!$K$15*0+Assumptions!$L$15*0.25*INDEX(Assumptions!$B$15:$D$15,1,MATCH(A6,Assumptions!$B$11:$D$11,0))*12)+(180*INDEX(Assumptions!$B$16:$D$16,1,MATCH(A6,Assumptions!$B$11:$D$11,0)))+75000)</x:f>
        <x:v>0.7297868103549257</x:v>
      </x:c>
      <x:c r="F6" s="67" t="str">
        <x:v>Primary operating plan for launch and fundraising</x:v>
      </x:c>
      <x:c r="G6" s="65"/>
      <x:c r="H6" s="65"/>
    </x:row>
    <x:row r="7">
      <x:c r="A7" s="67" t="str">
        <x:v>Upside</x:v>
      </x:c>
      <x:c r="B7" s="69" t="n">
        <x:f>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</x:f>
        <x:v>1764140</x:v>
      </x:c>
      <x:c r="C7" s="69" t="n">
        <x:f>(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-(((INDEX(Assumptions!$I$8:$K$8,1,MATCH(A7,Assumptions!$I$5:$K$5,0))*Assumptions!$I$15)*Assumptions!$J$15*INDEX(Assumptions!$B$13:$D$13,1,MATCH(A7,Assumptions!$B$11:$D$11,0)))*INDEX(Assumptions!$B$17:$D$17,1,MATCH(A7,Assumptions!$B$11:$D$11,0))+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*(INDEX(Assumptions!$B$18:$D$18,1,MATCH(A7,Assumptions!$B$11:$D$11,0))+INDEX(Assumptions!$B$19:$D$19,1,MATCH(A7,Assumptions!$B$11:$D$11,0))+INDEX(Assumptions!$B$20:$D$20,1,MATCH(A7,Assumptions!$B$11:$D$11,0)))))-SUM(Assumptions!$K$20:$K$26)</x:f>
        <x:v>514967.72</x:v>
      </x:c>
      <x:c r="D7" s="69" t="n">
        <x:f>INDEX(Assumptions!$B$21:$D$21,1,MATCH(A7,Assumptions!$B$11:$D$11,0))+((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-(((INDEX(Assumptions!$I$8:$K$8,1,MATCH(A7,Assumptions!$I$5:$K$5,0))*Assumptions!$I$15)*Assumptions!$J$15*INDEX(Assumptions!$B$13:$D$13,1,MATCH(A7,Assumptions!$B$11:$D$11,0)))*INDEX(Assumptions!$B$17:$D$17,1,MATCH(A7,Assumptions!$B$11:$D$11,0))+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*(INDEX(Assumptions!$B$18:$D$18,1,MATCH(A7,Assumptions!$B$11:$D$11,0))+INDEX(Assumptions!$B$19:$D$19,1,MATCH(A7,Assumptions!$B$11:$D$11,0))+INDEX(Assumptions!$B$20:$D$20,1,MATCH(A7,Assumptions!$B$11:$D$11,0)))))-SUM(Assumptions!$K$20:$K$26))</x:f>
        <x:v>589967.72</x:v>
      </x:c>
      <x:c r="E7" s="70" t="n">
        <x:f>(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-(((INDEX(Assumptions!$I$8:$K$8,1,MATCH(A7,Assumptions!$I$5:$K$5,0))*Assumptions!$I$15)*Assumptions!$J$15*INDEX(Assumptions!$B$13:$D$13,1,MATCH(A7,Assumptions!$B$11:$D$11,0)))*INDEX(Assumptions!$B$17:$D$17,1,MATCH(A7,Assumptions!$B$11:$D$11,0))+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*(INDEX(Assumptions!$B$18:$D$18,1,MATCH(A7,Assumptions!$B$11:$D$11,0))+INDEX(Assumptions!$B$19:$D$19,1,MATCH(A7,Assumptions!$B$11:$D$11,0))+INDEX(Assumptions!$B$20:$D$20,1,MATCH(A7,Assumptions!$B$11:$D$11,0)))))/(((INDEX(Assumptions!$I$8:$K$8,1,MATCH(A7,Assumptions!$I$5:$K$5,0))*Assumptions!$I$15)*Assumptions!$J$15*INDEX(Assumptions!$B$13:$D$13,1,MATCH(A7,Assumptions!$B$11:$D$11,0)))+(Assumptions!$K$15*INDEX(Assumptions!$B$14:$D$14,1,MATCH(A7,Assumptions!$B$11:$D$11,0))*12)+(Assumptions!$L$15*Assumptions!$K$15*INDEX(Assumptions!$B$15:$D$15,1,MATCH(A7,Assumptions!$B$11:$D$11,0))*12/Assumptions!$K$15*0+Assumptions!$L$15*0.25*INDEX(Assumptions!$B$15:$D$15,1,MATCH(A7,Assumptions!$B$11:$D$11,0))*12)+(180*INDEX(Assumptions!$B$16:$D$16,1,MATCH(A7,Assumptions!$B$11:$D$11,0)))+75000)</x:f>
        <x:v>0.6801998254106817</x:v>
      </x:c>
      <x:c r="F7" s="67" t="str">
        <x:v>Shows scale potential with stronger conversion/content flywheel</x:v>
      </x:c>
      <x:c r="G7" s="65"/>
      <x:c r="H7" s="65"/>
    </x:row>
  </x:sheetData>
  <x:mergeCells>
    <x:mergeCell ref="A1:F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970001220703125" hidden="0" customWidth="1"/>
    <x:col min="2" max="2" width="15.479999542236328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39.70000076293945" hidden="0" customWidth="1"/>
  </x:cols>
  <x:sheetData>
    <x:row r="1" ht="25.5" customHeight="1">
      <x:c r="A1" s="4" t="str">
        <x:v>Unit Economics</x:v>
      </x:c>
      <x:c r="B1" s="4" t="str">
        <x:v>Unit Economics</x:v>
      </x:c>
      <x:c r="C1" s="4" t="str">
        <x:v>Unit Economics</x:v>
      </x:c>
      <x:c r="D1" s="4" t="str">
        <x:v>Unit Economics</x:v>
      </x:c>
      <x:c r="E1" s="4" t="str">
        <x:v>Unit Economics</x:v>
      </x:c>
      <x:c r="F1" s="4" t="str">
        <x:v>Unit Economics</x:v>
      </x:c>
      <x:c r="G1" s="72"/>
      <x:c r="H1" s="72"/>
      <x:c r="I1" s="72"/>
      <x:c r="J1" s="72"/>
    </x:row>
    <x:row r="2" ht="16.5" customHeight="1">
      <x:c r="A2" s="64" t="str">
        <x:v>Key per-user, per-story, creator, and payback metrics.</x:v>
      </x:c>
      <x:c r="B2" s="64" t="str">
        <x:v>Key per-user, per-story, creator, and payback metrics.</x:v>
      </x:c>
      <x:c r="C2" s="64" t="str">
        <x:v>Key per-user, per-story, creator, and payback metrics.</x:v>
      </x:c>
      <x:c r="D2" s="64" t="str">
        <x:v>Key per-user, per-story, creator, and payback metrics.</x:v>
      </x:c>
      <x:c r="E2" s="64" t="str">
        <x:v>Key per-user, per-story, creator, and payback metrics.</x:v>
      </x:c>
      <x:c r="F2" s="64" t="str">
        <x:v>Key per-user, per-story, creator, and payback metrics.</x:v>
      </x:c>
      <x:c r="G2" s="64" t="str">
        <x:v>Key per-user, per-story, creator, and payback metrics.</x:v>
      </x:c>
      <x:c r="H2" s="64" t="str">
        <x:v>Key per-user, per-story, creator, and payback metrics.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Metric</x:v>
      </x:c>
      <x:c r="B4" s="66" t="n">
        <x:v>2026</x:v>
      </x:c>
      <x:c r="C4" s="66" t="n">
        <x:v>2027</x:v>
      </x:c>
      <x:c r="D4" s="66" t="n">
        <x:v>2028</x:v>
      </x:c>
      <x:c r="E4" s="66" t="str">
        <x:v>Unit</x:v>
      </x:c>
      <x:c r="F4" s="66" t="str">
        <x:v>Notes</x:v>
      </x:c>
      <x:c r="G4" s="65"/>
      <x:c r="H4" s="65"/>
    </x:row>
    <x:row r="5">
      <x:c r="A5" s="67" t="str">
        <x:v>ARPU - active reader</x:v>
      </x:c>
      <x:c r="B5" s="69" t="n">
        <x:f>IFERROR('Revenue Model'!B22/'Revenue Model'!B5,0)</x:f>
        <x:v>2.38272</x:v>
      </x:c>
      <x:c r="C5" s="69" t="n">
        <x:f>IFERROR('Revenue Model'!C22/'Revenue Model'!C5,0)</x:f>
        <x:v>4.1914428571428575</x:v>
      </x:c>
      <x:c r="D5" s="69" t="n">
        <x:f>IFERROR('Revenue Model'!D22/'Revenue Model'!D5,0)</x:f>
        <x:v>6.8296</x:v>
      </x:c>
      <x:c r="E5" s="67" t="str">
        <x:v>$ / active reader</x:v>
      </x:c>
      <x:c r="F5" s="67" t="str">
        <x:v>Gross billings / active readers</x:v>
      </x:c>
      <x:c r="G5" s="65"/>
      <x:c r="H5" s="65"/>
    </x:row>
    <x:row r="6">
      <x:c r="A6" s="67" t="str">
        <x:v>ARPPU - paid reader</x:v>
      </x:c>
      <x:c r="B6" s="69" t="n">
        <x:f>IFERROR('Revenue Model'!B22/'Revenue Model'!B7,0)</x:f>
        <x:v>59.568000000000005</x:v>
      </x:c>
      <x:c r="C6" s="69" t="n">
        <x:f>IFERROR('Revenue Model'!C22/'Revenue Model'!C7,0)</x:f>
        <x:v>59.87775510204081</x:v>
      </x:c>
      <x:c r="D6" s="69" t="n">
        <x:f>IFERROR('Revenue Model'!D22/'Revenue Model'!D7,0)</x:f>
        <x:v>68.296</x:v>
      </x:c>
      <x:c r="E6" s="67" t="str">
        <x:v>$ / paid reader</x:v>
      </x:c>
      <x:c r="F6" s="67" t="str">
        <x:v>Gross billings / paid readers</x:v>
      </x:c>
      <x:c r="G6" s="65"/>
      <x:c r="H6" s="65"/>
    </x:row>
    <x:row r="7">
      <x:c r="A7" s="67" t="str">
        <x:v>Gross profit per active reader</x:v>
      </x:c>
      <x:c r="B7" s="69" t="n">
        <x:f>IFERROR('Costs &amp; COGS'!B11/'Revenue Model'!B5,0)</x:f>
        <x:v>1.8622944</x:v>
      </x:c>
      <x:c r="C7" s="69" t="n">
        <x:f>IFERROR('Costs &amp; COGS'!C11/'Revenue Model'!C5,0)</x:f>
        <x:v>3.143815285714286</x:v>
      </x:c>
      <x:c r="D7" s="69" t="n">
        <x:f>IFERROR('Costs &amp; COGS'!D11/'Revenue Model'!D5,0)</x:f>
        <x:v>4.984152</x:v>
      </x:c>
      <x:c r="E7" s="67" t="str">
        <x:v>$</x:v>
      </x:c>
      <x:c r="F7" s="67" t="str">
        <x:v>Gross profit / active readers</x:v>
      </x:c>
      <x:c r="G7" s="65"/>
      <x:c r="H7" s="65"/>
    </x:row>
    <x:row r="8">
      <x:c r="A8" s="67" t="str">
        <x:v>Gross profit per paid reader</x:v>
      </x:c>
      <x:c r="B8" s="69" t="n">
        <x:f>IFERROR('Costs &amp; COGS'!B11/'Revenue Model'!B7,0)</x:f>
        <x:v>46.557359999999996</x:v>
      </x:c>
      <x:c r="C8" s="69" t="n">
        <x:f>IFERROR('Costs &amp; COGS'!C11/'Revenue Model'!C7,0)</x:f>
        <x:v>44.911646938775505</x:v>
      </x:c>
      <x:c r="D8" s="69" t="n">
        <x:f>IFERROR('Costs &amp; COGS'!D11/'Revenue Model'!D7,0)</x:f>
        <x:v>49.84152</x:v>
      </x:c>
      <x:c r="E8" s="67" t="str">
        <x:v>$</x:v>
      </x:c>
      <x:c r="F8" s="67" t="str">
        <x:v>Gross profit / paid reader</x:v>
      </x:c>
      <x:c r="G8" s="65"/>
      <x:c r="H8" s="65"/>
    </x:row>
    <x:row r="9">
      <x:c r="A9" s="67" t="str">
        <x:v>Marketing CAC - blended</x:v>
      </x:c>
      <x:c r="B9" s="69" t="n">
        <x:f>'Marketing Funnel'!L10</x:f>
        <x:v>102.62789612812938</x:v>
      </x:c>
      <x:c r="C9" s="69" t="n">
        <x:f>IFERROR('Costs &amp; COGS'!C16/('Revenue Model'!C7-'Revenue Model'!B7),0)</x:f>
        <x:v>28.888888888888882</x:v>
      </x:c>
      <x:c r="D9" s="69" t="n">
        <x:f>IFERROR('Costs &amp; COGS'!D16/('Revenue Model'!D7-'Revenue Model'!C7),0)</x:f>
        <x:v>17.529880478087648</x:v>
      </x:c>
      <x:c r="E9" s="67" t="str">
        <x:v>$ / paid user</x:v>
      </x:c>
      <x:c r="F9" s="67" t="str">
        <x:v>Uses 2026 channel model; later uses annual marketing spend / new paid users</x:v>
      </x:c>
      <x:c r="G9" s="65"/>
      <x:c r="H9" s="65"/>
    </x:row>
    <x:row r="10">
      <x:c r="A10" s="67" t="str">
        <x:v>CAC payback</x:v>
      </x:c>
      <x:c r="B10" s="78" t="n">
        <x:f>IFERROR(B9/B8,0)</x:f>
        <x:v>2.204332378986467</x:v>
      </x:c>
      <x:c r="C10" s="78" t="n">
        <x:f>IFERROR(C9/C8,0)</x:f>
        <x:v>0.6432382434843865</x:v>
      </x:c>
      <x:c r="D10" s="78" t="n">
        <x:f>IFERROR(D9/D8,0)</x:f>
        <x:v>0.35171239717584146</x:v>
      </x:c>
      <x:c r="E10" s="67" t="str">
        <x:v>years</x:v>
      </x:c>
      <x:c r="F10" s="67" t="str">
        <x:v>CAC / gross profit per paid reader</x:v>
      </x:c>
      <x:c r="G10" s="65"/>
      <x:c r="H10" s="65"/>
    </x:row>
    <x:row r="11">
      <x:c r="A11" s="67" t="str">
        <x:v>Creator revenue per creator</x:v>
      </x:c>
      <x:c r="B11" s="69" t="n">
        <x:f>IFERROR('Revenue Model'!B17/'Revenue Model'!B14,0)</x:f>
        <x:v>14.4</x:v>
      </x:c>
      <x:c r="C11" s="69" t="n">
        <x:f>IFERROR('Revenue Model'!C17/'Revenue Model'!C14,0)</x:f>
        <x:v>25.92</x:v>
      </x:c>
      <x:c r="D11" s="69" t="n">
        <x:f>IFERROR('Revenue Model'!D17/'Revenue Model'!D14,0)</x:f>
        <x:v>36</x:v>
      </x:c>
      <x:c r="E11" s="67" t="str">
        <x:v>$ / creator</x:v>
      </x:c>
      <x:c r="F11" s="67" t="str">
        <x:v>Creator Pro revenue / creator accounts</x:v>
      </x:c>
      <x:c r="G11" s="65"/>
      <x:c r="H11" s="65"/>
    </x:row>
    <x:row r="12">
      <x:c r="A12" s="67" t="str">
        <x:v>Platform take rate</x:v>
      </x:c>
      <x:c r="B12" s="70" t="n">
        <x:f>IFERROR('Costs &amp; COGS'!B11/'Revenue Model'!B22,0)</x:f>
        <x:v>0.7815834004834811</x:v>
      </x:c>
      <x:c r="C12" s="70" t="n">
        <x:f>IFERROR('Costs &amp; COGS'!C11/'Revenue Model'!C22,0)</x:f>
        <x:v>0.7500556235322988</x:v>
      </x:c>
      <x:c r="D12" s="70" t="n">
        <x:f>IFERROR('Costs &amp; COGS'!D11/'Revenue Model'!D22,0)</x:f>
        <x:v>0.7297868103549257</x:v>
      </x:c>
      <x:c r="E12" s="67" t="str">
        <x:v>%</x:v>
      </x:c>
      <x:c r="F12" s="67" t="str">
        <x:v>Gross profit / gross billings</x:v>
      </x:c>
      <x:c r="G12" s="65"/>
      <x:c r="H12" s="65"/>
    </x:row>
    <x:row r="13">
      <x:c r="A13" s="67" t="str">
        <x:v>Stories needed at launch</x:v>
      </x:c>
      <x:c r="B13" s="74" t="n">
        <x:v>10</x:v>
      </x:c>
      <x:c r="C13" s="74" t="n">
        <x:v>20</x:v>
      </x:c>
      <x:c r="D13" s="74" t="n">
        <x:v>40</x:v>
      </x:c>
      <x:c r="E13" s="67" t="str">
        <x:v>stories</x:v>
      </x:c>
      <x:c r="F13" s="67" t="str">
        <x:v>Catalog quality target</x:v>
      </x:c>
      <x:c r="G13" s="65"/>
      <x:c r="H13" s="65"/>
    </x:row>
  </x:sheetData>
  <x:mergeCells>
    <x:mergeCell ref="A1:F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27.59000015258789" hidden="0" customWidth="1"/>
    <x:col min="3" max="3" width="30.280000686645508" hidden="0" customWidth="1"/>
    <x:col min="4" max="4" width="30.280000686645508" hidden="0" customWidth="1"/>
    <x:col min="5" max="5" width="16.81999969482422" hidden="0" customWidth="1"/>
    <x:col min="6" max="6" width="16.81999969482422" hidden="0" customWidth="1"/>
  </x:cols>
  <x:sheetData>
    <x:row r="1" ht="25.5" customHeight="1">
      <x:c r="A1" s="4" t="str">
        <x:v>Launch Roadmap</x:v>
      </x:c>
      <x:c r="B1" s="4" t="str">
        <x:v>Launch Roadmap</x:v>
      </x:c>
      <x:c r="C1" s="4" t="str">
        <x:v>Launch Roadmap</x:v>
      </x:c>
      <x:c r="D1" s="4" t="str">
        <x:v>Launch Roadmap</x:v>
      </x:c>
      <x:c r="E1" s="4" t="str">
        <x:v>Launch Roadmap</x:v>
      </x:c>
      <x:c r="F1" s="4" t="str">
        <x:v>Launch Roadmap</x:v>
      </x:c>
      <x:c r="G1" s="72"/>
      <x:c r="H1" s="72"/>
      <x:c r="I1" s="72"/>
      <x:c r="J1" s="72"/>
    </x:row>
    <x:row r="2" ht="16.5" customHeight="1">
      <x:c r="A2" s="64" t="str">
        <x:v>Milestones tied to catalog, audience, compliance, and monetization readiness.</x:v>
      </x:c>
      <x:c r="B2" s="64" t="str">
        <x:v>Milestones tied to catalog, audience, compliance, and monetization readiness.</x:v>
      </x:c>
      <x:c r="C2" s="64" t="str">
        <x:v>Milestones tied to catalog, audience, compliance, and monetization readiness.</x:v>
      </x:c>
      <x:c r="D2" s="64" t="str">
        <x:v>Milestones tied to catalog, audience, compliance, and monetization readiness.</x:v>
      </x:c>
      <x:c r="E2" s="64" t="str">
        <x:v>Milestones tied to catalog, audience, compliance, and monetization readiness.</x:v>
      </x:c>
      <x:c r="F2" s="64" t="str">
        <x:v>Milestones tied to catalog, audience, compliance, and monetization readiness.</x:v>
      </x:c>
      <x:c r="G2" s="64" t="str">
        <x:v>Milestones tied to catalog, audience, compliance, and monetization readiness.</x:v>
      </x:c>
      <x:c r="H2" s="64" t="str">
        <x:v>Milestones tied to catalog, audience, compliance, and monetization readiness.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Phase</x:v>
      </x:c>
      <x:c r="B4" s="66" t="str">
        <x:v>Timeline</x:v>
      </x:c>
      <x:c r="C4" s="66" t="str">
        <x:v>Goal</x:v>
      </x:c>
      <x:c r="D4" s="66" t="str">
        <x:v>Key Work</x:v>
      </x:c>
      <x:c r="E4" s="66" t="str">
        <x:v>Owner</x:v>
      </x:c>
      <x:c r="F4" s="66" t="str">
        <x:v>Status</x:v>
      </x:c>
      <x:c r="G4" s="65"/>
      <x:c r="H4" s="65"/>
    </x:row>
    <x:row r="5">
      <x:c r="A5" s="67" t="str">
        <x:v>Beta Prep</x:v>
      </x:c>
      <x:c r="B5" s="67" t="str">
        <x:v>Now - Launch - 4 weeks</x:v>
      </x:c>
      <x:c r="C5" s="67" t="str">
        <x:v>Prove core story experience</x:v>
      </x:c>
      <x:c r="D5" s="67" t="str">
        <x:v>Finish 10 flagship PageCasts, test payments, verify compliance gates</x:v>
      </x:c>
      <x:c r="E5" s="67" t="str">
        <x:v>Founders</x:v>
      </x:c>
      <x:c r="F5" s="67" t="str">
        <x:v>In Progress</x:v>
      </x:c>
      <x:c r="G5" s="65"/>
      <x:c r="H5" s="65"/>
    </x:row>
    <x:row r="6">
      <x:c r="A6" s="67" t="str">
        <x:v>Private Beta</x:v>
      </x:c>
      <x:c r="B6" s="67" t="str">
        <x:v>Launch - 4 weeks</x:v>
      </x:c>
      <x:c r="C6" s="67" t="str">
        <x:v>Validate parent and teacher demand</x:v>
      </x:c>
      <x:c r="D6" s="67" t="str">
        <x:v>Recruit 50-100 families, collect testimonials, track completion rates</x:v>
      </x:c>
      <x:c r="E6" s="67" t="str">
        <x:v>Growth</x:v>
      </x:c>
      <x:c r="F6" s="67" t="str">
        <x:v>Planned</x:v>
      </x:c>
      <x:c r="G6" s="65"/>
      <x:c r="H6" s="65"/>
    </x:row>
    <x:row r="7">
      <x:c r="A7" s="67" t="str">
        <x:v>Creator Pilot</x:v>
      </x:c>
      <x:c r="B7" s="67" t="str">
        <x:v>Month 2</x:v>
      </x:c>
      <x:c r="C7" s="67" t="str">
        <x:v>Validate creator workflow</x:v>
      </x:c>
      <x:c r="D7" s="67" t="str">
        <x:v>Invite 20 authors/educators, publish first external stories</x:v>
      </x:c>
      <x:c r="E7" s="67" t="str">
        <x:v>Creator Ops</x:v>
      </x:c>
      <x:c r="F7" s="67" t="str">
        <x:v>Planned</x:v>
      </x:c>
      <x:c r="G7" s="65"/>
      <x:c r="H7" s="65"/>
    </x:row>
    <x:row r="8">
      <x:c r="A8" s="67" t="str">
        <x:v>Public Launch</x:v>
      </x:c>
      <x:c r="B8" s="67" t="str">
        <x:v>Month 3</x:v>
      </x:c>
      <x:c r="C8" s="67" t="str">
        <x:v>First paid unlocks</x:v>
      </x:c>
      <x:c r="D8" s="67" t="str">
        <x:v>Launch demos, free story, paid story bundle, email capture</x:v>
      </x:c>
      <x:c r="E8" s="67" t="str">
        <x:v>Growth</x:v>
      </x:c>
      <x:c r="F8" s="67" t="str">
        <x:v>Planned</x:v>
      </x:c>
      <x:c r="G8" s="65"/>
      <x:c r="H8" s="65"/>
    </x:row>
    <x:row r="9">
      <x:c r="A9" s="67" t="str">
        <x:v>Bundle Sales</x:v>
      </x:c>
      <x:c r="B9" s="67" t="str">
        <x:v>Months 4-6</x:v>
      </x:c>
      <x:c r="C9" s="67" t="str">
        <x:v>Education/faith org revenue</x:v>
      </x:c>
      <x:c r="D9" s="67" t="str">
        <x:v>Sell school/masjid/homeschool access codes</x:v>
      </x:c>
      <x:c r="E9" s="67" t="str">
        <x:v>Partnerships</x:v>
      </x:c>
      <x:c r="F9" s="67" t="str">
        <x:v>Planned</x:v>
      </x:c>
      <x:c r="G9" s="65"/>
      <x:c r="H9" s="65"/>
    </x:row>
    <x:row r="10">
      <x:c r="A10" s="67" t="str">
        <x:v>Family Plan</x:v>
      </x:c>
      <x:c r="B10" s="67" t="str">
        <x:v>Months 6-9</x:v>
      </x:c>
      <x:c r="C10" s="67" t="str">
        <x:v>Recurring revenue</x:v>
      </x:c>
      <x:c r="D10" s="67" t="str">
        <x:v>Launch family subscription after enough catalog depth</x:v>
      </x:c>
      <x:c r="E10" s="67" t="str">
        <x:v>Product</x:v>
      </x:c>
      <x:c r="F10" s="67" t="str">
        <x:v>Planned</x:v>
      </x:c>
      <x:c r="G10" s="65"/>
      <x:c r="H10" s="65"/>
    </x:row>
    <x:row r="11">
      <x:c r="A11" s="67" t="str">
        <x:v>Creator Pro</x:v>
      </x:c>
      <x:c r="B11" s="67" t="str">
        <x:v>Months 9-12</x:v>
      </x:c>
      <x:c r="C11" s="67" t="str">
        <x:v>Creator SaaS revenue</x:v>
      </x:c>
      <x:c r="D11" s="67" t="str">
        <x:v>Add pro tools, templates, branded story pages</x:v>
      </x:c>
      <x:c r="E11" s="67" t="str">
        <x:v>Product</x:v>
      </x:c>
      <x:c r="F11" s="67" t="str">
        <x:v>Planned</x:v>
      </x:c>
      <x:c r="G11" s="65"/>
      <x:c r="H11" s="65"/>
    </x:row>
    <x:row r="12">
      <x:c r="A12" s="67" t="str">
        <x:v>Scale</x:v>
      </x:c>
      <x:c r="B12" s="67" t="str">
        <x:v>Year 2</x:v>
      </x:c>
      <x:c r="C12" s="67" t="str">
        <x:v>Repeatable growth engine</x:v>
      </x:c>
      <x:c r="D12" s="67" t="str">
        <x:v>Localization, more genres, partnerships, creator marketplace</x:v>
      </x:c>
      <x:c r="E12" s="67" t="str">
        <x:v>Leadership</x:v>
      </x:c>
      <x:c r="F12" s="67" t="str">
        <x:v>Planned</x:v>
      </x:c>
      <x:c r="G12" s="65"/>
      <x:c r="H12" s="65"/>
    </x:row>
  </x:sheetData>
  <x:mergeCells>
    <x:mergeCell ref="A1:F1"/>
    <x:mergeCell ref="A2:H2"/>
  </x:mergeCells>
  <x:dataValidations count="1">
    <x:dataValidation type="list" sqref="F5:F12">
      <x:formula1>"Planned,In Progress,Done,Blocked"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22.209999084472656" hidden="0" customWidth="1"/>
    <x:col min="3" max="3" width="24.229999542236328" hidden="0" customWidth="1"/>
    <x:col min="4" max="4" width="22.209999084472656" hidden="0" customWidth="1"/>
    <x:col min="5" max="5" width="24.899999618530273" hidden="0" customWidth="1"/>
    <x:col min="6" max="6" width="30.280000686645508" hidden="0" customWidth="1"/>
  </x:cols>
  <x:sheetData>
    <x:row r="1" ht="25.5" customHeight="1">
      <x:c r="A1" s="4" t="str">
        <x:v>Competitor Matrix</x:v>
      </x:c>
      <x:c r="B1" s="4" t="str">
        <x:v>Competitor Matrix</x:v>
      </x:c>
      <x:c r="C1" s="4" t="str">
        <x:v>Competitor Matrix</x:v>
      </x:c>
      <x:c r="D1" s="4" t="str">
        <x:v>Competitor Matrix</x:v>
      </x:c>
      <x:c r="E1" s="4" t="str">
        <x:v>Competitor Matrix</x:v>
      </x:c>
      <x:c r="F1" s="4" t="str">
        <x:v>Competitor Matrix</x:v>
      </x:c>
      <x:c r="G1" s="72"/>
      <x:c r="H1" s="72"/>
      <x:c r="I1" s="72"/>
      <x:c r="J1" s="72"/>
    </x:row>
    <x:row r="2" ht="16.5" customHeight="1">
      <x:c r="A2" s="64" t="str">
        <x:v>Positioning map for PageCast launch messaging.</x:v>
      </x:c>
      <x:c r="B2" s="64" t="str">
        <x:v>Positioning map for PageCast launch messaging.</x:v>
      </x:c>
      <x:c r="C2" s="64" t="str">
        <x:v>Positioning map for PageCast launch messaging.</x:v>
      </x:c>
      <x:c r="D2" s="64" t="str">
        <x:v>Positioning map for PageCast launch messaging.</x:v>
      </x:c>
      <x:c r="E2" s="64" t="str">
        <x:v>Positioning map for PageCast launch messaging.</x:v>
      </x:c>
      <x:c r="F2" s="64" t="str">
        <x:v>Positioning map for PageCast launch messaging.</x:v>
      </x:c>
      <x:c r="G2" s="64" t="str">
        <x:v>Positioning map for PageCast launch messaging.</x:v>
      </x:c>
      <x:c r="H2" s="64" t="str">
        <x:v>Positioning map for PageCast launch messaging.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Competitor</x:v>
      </x:c>
      <x:c r="B4" s="66" t="str">
        <x:v>Category</x:v>
      </x:c>
      <x:c r="C4" s="66" t="str">
        <x:v>Strength</x:v>
      </x:c>
      <x:c r="D4" s="66" t="str">
        <x:v>Weakness / Opening</x:v>
      </x:c>
      <x:c r="E4" s="66" t="str">
        <x:v>PageCast Response</x:v>
      </x:c>
      <x:c r="F4" s="66" t="str">
        <x:v>Marketing Lesson</x:v>
      </x:c>
      <x:c r="G4" s="65"/>
      <x:c r="H4" s="65"/>
    </x:row>
    <x:row r="5">
      <x:c r="A5" s="67" t="str">
        <x:v>Audible</x:v>
      </x:c>
      <x:c r="B5" s="67" t="str">
        <x:v>Audiobooks</x:v>
      </x:c>
      <x:c r="C5" s="67" t="str">
        <x:v>Huge catalog and trusted audio brand</x:v>
      </x:c>
      <x:c r="D5" s="67" t="str">
        <x:v>Audio-only; expensive creator production</x:v>
      </x:c>
      <x:c r="E5" s="67" t="str">
        <x:v>Text + cast + browser-native story format</x:v>
      </x:c>
      <x:c r="F5" s="67" t="str">
        <x:v>Do not fight catalog size; fight format gap</x:v>
      </x:c>
      <x:c r="G5" s="65"/>
      <x:c r="H5" s="65"/>
    </x:row>
    <x:row r="6">
      <x:c r="A6" s="67" t="str">
        <x:v>Spotify Audiobooks</x:v>
      </x:c>
      <x:c r="B6" s="67" t="str">
        <x:v>Audio bundle</x:v>
      </x:c>
      <x:c r="C6" s="67" t="str">
        <x:v>Massive existing audio audience</x:v>
      </x:c>
      <x:c r="D6" s="67" t="str">
        <x:v>Audiobooks are a feature inside a broader app</x:v>
      </x:c>
      <x:c r="E6" s="67" t="str">
        <x:v>Focused story product with visible text</x:v>
      </x:c>
      <x:c r="F6" s="67" t="str">
        <x:v>Audio demand is mainstream</x:v>
      </x:c>
      <x:c r="G6" s="65"/>
      <x:c r="H6" s="65"/>
    </x:row>
    <x:row r="7">
      <x:c r="A7" s="67" t="str">
        <x:v>Yoto</x:v>
      </x:c>
      <x:c r="B7" s="67" t="str">
        <x:v>Kids audio hardware</x:v>
      </x:c>
      <x:c r="C7" s="67" t="str">
        <x:v>Parent trust and screen-free positioning</x:v>
      </x:c>
      <x:c r="D7" s="67" t="str">
        <x:v>Needs hardware/cards; no text layer</x:v>
      </x:c>
      <x:c r="E7" s="67" t="str">
        <x:v>Browser access plus reading support</x:v>
      </x:c>
      <x:c r="F7" s="67" t="str">
        <x:v>Use parent calm/safe story-time language</x:v>
      </x:c>
      <x:c r="G7" s="65"/>
      <x:c r="H7" s="65"/>
    </x:row>
    <x:row r="8">
      <x:c r="A8" s="67" t="str">
        <x:v>Tonies</x:v>
      </x:c>
      <x:c r="B8" s="67" t="str">
        <x:v>Kids audio toy</x:v>
      </x:c>
      <x:c r="C8" s="67" t="str">
        <x:v>Simple child-friendly controls</x:v>
      </x:c>
      <x:c r="D8" s="67" t="str">
        <x:v>Hardware cost and younger skew</x:v>
      </x:c>
      <x:c r="E8" s="67" t="str">
        <x:v>No hardware, flexible story links</x:v>
      </x:c>
      <x:c r="F8" s="67" t="str">
        <x:v>Physical charm matters; design should feel warm</x:v>
      </x:c>
      <x:c r="G8" s="65"/>
      <x:c r="H8" s="65"/>
    </x:row>
    <x:row r="9">
      <x:c r="A9" s="67" t="str">
        <x:v>Epic</x:v>
      </x:c>
      <x:c r="B9" s="67" t="str">
        <x:v>Kids digital library</x:v>
      </x:c>
      <x:c r="C9" s="67" t="str">
        <x:v>Large child reading catalog</x:v>
      </x:c>
      <x:c r="D9" s="67" t="str">
        <x:v>Library-first, less cinematic creator publishing</x:v>
      </x:c>
      <x:c r="E9" s="67" t="str">
        <x:v>Immersive stories and creator studio</x:v>
      </x:c>
      <x:c r="F9" s="67" t="str">
        <x:v>Reading support is a proven need</x:v>
      </x:c>
      <x:c r="G9" s="65"/>
      <x:c r="H9" s="65"/>
    </x:row>
    <x:row r="10">
      <x:c r="A10" s="67" t="str">
        <x:v>Novel Effect</x:v>
      </x:c>
      <x:c r="B10" s="67" t="str">
        <x:v>Read-aloud SFX</x:v>
      </x:c>
      <x:c r="C10" s="67" t="str">
        <x:v>Adds atmosphere to live reading</x:v>
      </x:c>
      <x:c r="D10" s="67" t="str">
        <x:v>Requires adult live reading/microphone</x:v>
      </x:c>
      <x:c r="E10" s="67" t="str">
        <x:v>Prebuilt voiced stories that can be replayed</x:v>
      </x:c>
      <x:c r="F10" s="67" t="str">
        <x:v>Soundscapes are compelling</x:v>
      </x:c>
      <x:c r="G10" s="65"/>
      <x:c r="H10" s="65"/>
    </x:row>
    <x:row r="11">
      <x:c r="A11" s="67" t="str">
        <x:v>Wattpad</x:v>
      </x:c>
      <x:c r="B11" s="67" t="str">
        <x:v>Social fiction</x:v>
      </x:c>
      <x:c r="C11" s="67" t="str">
        <x:v>Huge creator/readership culture</x:v>
      </x:c>
      <x:c r="D11" s="67" t="str">
        <x:v>Text-first; limited built-in audio production</x:v>
      </x:c>
      <x:c r="E11" s="67" t="str">
        <x:v>Performance-ready story publishing</x:v>
      </x:c>
      <x:c r="F11" s="67" t="str">
        <x:v>Creator community is essential</x:v>
      </x:c>
      <x:c r="G11" s="65"/>
      <x:c r="H11" s="65"/>
    </x:row>
    <x:row r="12">
      <x:c r="A12" s="67" t="str">
        <x:v>Galatea</x:v>
      </x:c>
      <x:c r="B12" s="67" t="str">
        <x:v>Immersive fiction</x:v>
      </x:c>
      <x:c r="C12" s="67" t="str">
        <x:v>Proves demand for SFX/visual/haptic fiction</x:v>
      </x:c>
      <x:c r="D12" s="67" t="str">
        <x:v>App-dependent and curated</x:v>
      </x:c>
      <x:c r="E12" s="67" t="str">
        <x:v>Open creator platform with web links</x:v>
      </x:c>
      <x:c r="F12" s="67" t="str">
        <x:v>Immersive fiction can convert</x:v>
      </x:c>
      <x:c r="G12" s="65"/>
      <x:c r="H12" s="65"/>
    </x:row>
    <x:row r="13">
      <x:c r="A13" s="67" t="str">
        <x:v>WebNovel/Tapas</x:v>
      </x:c>
      <x:c r="B13" s="67" t="str">
        <x:v>Serialized fiction</x:v>
      </x:c>
      <x:c r="C13" s="67" t="str">
        <x:v>Mobile genre fiction monetization</x:v>
      </x:c>
      <x:c r="D13" s="67" t="str">
        <x:v>Frictional coins/episodes, text-first</x:v>
      </x:c>
      <x:c r="E13" s="67" t="str">
        <x:v>Simple unlocks and richer format</x:v>
      </x:c>
      <x:c r="F13" s="67" t="str">
        <x:v>Avoid confusing token model at launch</x:v>
      </x:c>
      <x:c r="G13" s="65"/>
      <x:c r="H13" s="65"/>
    </x:row>
    <x:row r="14">
      <x:c r="A14" s="67" t="str">
        <x:v>Kindle/KDP</x:v>
      </x:c>
      <x:c r="B14" s="67" t="str">
        <x:v>Self-publishing</x:v>
      </x:c>
      <x:c r="C14" s="67" t="str">
        <x:v>Largest ebook ecosystem</x:v>
      </x:c>
      <x:c r="D14" s="67" t="str">
        <x:v>Ebooks are mostly silent</x:v>
      </x:c>
      <x:c r="E14" s="67" t="str">
        <x:v>Complement Kindle with voiced web stories</x:v>
      </x:c>
      <x:c r="F14" s="67" t="str">
        <x:v>Creators already understand publishing</x:v>
      </x:c>
      <x:c r="G14" s="65"/>
      <x:c r="H14" s="65"/>
    </x:row>
    <x:row r="15">
      <x:c r="A15" s="67" t="str">
        <x:v>PageCast</x:v>
      </x:c>
      <x:c r="B15" s="67" t="str">
        <x:v>Cinematic story platform</x:v>
      </x:c>
      <x:c r="C15" s="67" t="str">
        <x:v>Text + voices + atmosphere + commerce</x:v>
      </x:c>
      <x:c r="D15" s="67" t="str">
        <x:v>Needs launch catalog and trust</x:v>
      </x:c>
      <x:c r="E15" s="67" t="str">
        <x:v>Niche-first, compliance-first launch</x:v>
      </x:c>
      <x:c r="F15" s="67" t="str">
        <x:v>Own the format, not the shelf</x:v>
      </x:c>
      <x:c r="G15" s="65"/>
      <x:c r="H15" s="65"/>
    </x:row>
  </x:sheetData>
  <x:mergeCells>
    <x:mergeCell ref="A1:F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2.209999084472656" hidden="0" customWidth="1"/>
    <x:col min="3" max="3" width="15.479999542236328" hidden="0" customWidth="1"/>
    <x:col min="4" max="4" width="51.81999969482422" hidden="0" customWidth="1"/>
    <x:col min="5" max="5" width="38.36000061035156" hidden="0" customWidth="1"/>
  </x:cols>
  <x:sheetData>
    <x:row r="1" ht="25.5" customHeight="1">
      <x:c r="A1" s="4" t="str">
        <x:v>Sources and Notes</x:v>
      </x:c>
      <x:c r="B1" s="4" t="str">
        <x:v>Sources and Notes</x:v>
      </x:c>
      <x:c r="C1" s="4" t="str">
        <x:v>Sources and Notes</x:v>
      </x:c>
      <x:c r="D1" s="4" t="str">
        <x:v>Sources and Notes</x:v>
      </x:c>
      <x:c r="E1" s="4" t="str">
        <x:v>Sources and Notes</x:v>
      </x:c>
      <x:c r="F1" s="72"/>
      <x:c r="G1" s="72"/>
      <x:c r="H1" s="72"/>
      <x:c r="I1" s="72"/>
      <x:c r="J1" s="72"/>
    </x:row>
    <x:row r="2" ht="16.5" customHeight="1">
      <x:c r="A2" s="64" t="str">
        <x:v>External data points and internal planning assumptions used in the workbook.</x:v>
      </x:c>
      <x:c r="B2" s="64" t="str">
        <x:v>External data points and internal planning assumptions used in the workbook.</x:v>
      </x:c>
      <x:c r="C2" s="64" t="str">
        <x:v>External data points and internal planning assumptions used in the workbook.</x:v>
      </x:c>
      <x:c r="D2" s="64" t="str">
        <x:v>External data points and internal planning assumptions used in the workbook.</x:v>
      </x:c>
      <x:c r="E2" s="64" t="str">
        <x:v>External data points and internal planning assumptions used in the workbook.</x:v>
      </x:c>
      <x:c r="F2" s="64" t="str">
        <x:v>External data points and internal planning assumptions used in the workbook.</x:v>
      </x:c>
      <x:c r="G2" s="64" t="str">
        <x:v>External data points and internal planning assumptions used in the workbook.</x:v>
      </x:c>
      <x:c r="H2" s="64" t="str">
        <x:v>External data points and internal planning assumptions used in the workbook.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Topic</x:v>
      </x:c>
      <x:c r="B4" s="66" t="str">
        <x:v>Source</x:v>
      </x:c>
      <x:c r="C4" s="66" t="str">
        <x:v>As-of / Period</x:v>
      </x:c>
      <x:c r="D4" s="66" t="str">
        <x:v>URL</x:v>
      </x:c>
      <x:c r="E4" s="66" t="str">
        <x:v>How Used</x:v>
      </x:c>
      <x:c r="F4" s="65"/>
      <x:c r="G4" s="65"/>
      <x:c r="H4" s="65"/>
    </x:row>
    <x:row r="5">
      <x:c r="A5" s="67" t="str">
        <x:v>Audiobook market</x:v>
      </x:c>
      <x:c r="B5" s="67" t="str">
        <x:v>Deloitte</x:v>
      </x:c>
      <x:c r="C5" s="67" t="str">
        <x:v>2024 prediction</x:v>
      </x:c>
      <x:c r="D5" s="67" t="str">
        <x:v>https://www.deloitte.com/us/en/insights/industry/technology/technology-media-and-telecom-predictions/2024/consumer-audio-market-trends-predict-more-global-consumers-in-2024.html</x:v>
      </x:c>
      <x:c r="E5" s="67" t="str">
        <x:v>Market tailwind for audio storytelling</x:v>
      </x:c>
      <x:c r="F5" s="65"/>
      <x:c r="G5" s="65"/>
      <x:c r="H5" s="65"/>
    </x:row>
    <x:row r="6">
      <x:c r="A6" s="67" t="str">
        <x:v>US audiobook sales</x:v>
      </x:c>
      <x:c r="B6" s="67" t="str">
        <x:v>Publishers Weekly / APA</x:v>
      </x:c>
      <x:c r="C6" s="67" t="str">
        <x:v>2024</x:v>
      </x:c>
      <x:c r="D6" s="67" t="str">
        <x:v>https://www.publishersweekly.com/pw/by-topic/industry-news/audio-books/article/97920-audiobook-sales-rose-13-in-2024-to-2-2-billion.html</x:v>
      </x:c>
      <x:c r="E6" s="67" t="str">
        <x:v>Audiobook growth proof point</x:v>
      </x:c>
      <x:c r="F6" s="65"/>
      <x:c r="G6" s="65"/>
      <x:c r="H6" s="65"/>
    </x:row>
    <x:row r="7">
      <x:c r="A7" s="67" t="str">
        <x:v>Audiobook age adoption</x:v>
      </x:c>
      <x:c r="B7" s="67" t="str">
        <x:v>Pew Research Center</x:v>
      </x:c>
      <x:c r="C7" s="67" t="str">
        <x:v>Oct 2025 survey</x:v>
      </x:c>
      <x:c r="D7" s="67" t="str">
        <x:v>https://www.pewresearch.org/short-reads/2026/04/09/americans-still-opt-for-print-books-over-digital-or-audio-versions-few-are-in-book-clubs/</x:v>
      </x:c>
      <x:c r="E7" s="67" t="str">
        <x:v>Age and adult audiobook adoption context</x:v>
      </x:c>
      <x:c r="F7" s="65"/>
      <x:c r="G7" s="65"/>
      <x:c r="H7" s="65"/>
    </x:row>
    <x:row r="8">
      <x:c r="A8" s="67" t="str">
        <x:v>Children screen time</x:v>
      </x:c>
      <x:c r="B8" s="67" t="str">
        <x:v>Common Sense Media</x:v>
      </x:c>
      <x:c r="C8" s="67" t="str">
        <x:v>2025</x:v>
      </x:c>
      <x:c r="D8" s="67" t="str">
        <x:v>https://www.commonsensemedia.org/research/the-2025-common-sense-census-media-use-by-kids-zero-to-eight</x:v>
      </x:c>
      <x:c r="E8" s="67" t="str">
        <x:v>Parent pain point and positioning</x:v>
      </x:c>
      <x:c r="F8" s="65"/>
      <x:c r="G8" s="65"/>
      <x:c r="H8" s="65"/>
    </x:row>
    <x:row r="9">
      <x:c r="A9" s="67" t="str">
        <x:v>Read-aloud behavior</x:v>
      </x:c>
      <x:c r="B9" s="67" t="str">
        <x:v>Scholastic</x:v>
      </x:c>
      <x:c r="C9" s="67" t="str">
        <x:v>Kids &amp; Family Reading Report</x:v>
      </x:c>
      <x:c r="D9" s="67" t="str">
        <x:v>https://www.scholastic.com/newsroom/all-news/press-release/scholastic-kids---family-reading-report--releases-new-data-to-su.html</x:v>
      </x:c>
      <x:c r="E9" s="67" t="str">
        <x:v>Parent reading support need</x:v>
      </x:c>
      <x:c r="F9" s="65"/>
      <x:c r="G9" s="65"/>
      <x:c r="H9" s="65"/>
    </x:row>
    <x:row r="10">
      <x:c r="A10" s="67" t="str">
        <x:v>Children audio enjoyment</x:v>
      </x:c>
      <x:c r="B10" s="67" t="str">
        <x:v>National Literacy Trust</x:v>
      </x:c>
      <x:c r="C10" s="67" t="str">
        <x:v>2024</x:v>
      </x:c>
      <x:c r="D10" s="67" t="str">
        <x:v>https://nlt.hacdn.org/media/documents/Children_and_young_peoples_listening_in_2024_MgzFHgw.pdf</x:v>
      </x:c>
      <x:c r="E10" s="67" t="str">
        <x:v>Audio as bridge into reading</x:v>
      </x:c>
      <x:c r="F10" s="65"/>
      <x:c r="G10" s="65"/>
      <x:c r="H10" s="65"/>
    </x:row>
    <x:row r="11">
      <x:c r="A11" s="67" t="str">
        <x:v>Spotify audiobooks</x:v>
      </x:c>
      <x:c r="B11" s="67" t="str">
        <x:v>Spotify</x:v>
      </x:c>
      <x:c r="C11" s="67" t="str">
        <x:v>2024/2025</x:v>
      </x:c>
      <x:c r="D11" s="67" t="str">
        <x:v>https://www.spotify.com/us/audiobooks/</x:v>
      </x:c>
      <x:c r="E11" s="67" t="str">
        <x:v>Competitive audio benchmark</x:v>
      </x:c>
      <x:c r="F11" s="65"/>
      <x:c r="G11" s="65"/>
      <x:c r="H11" s="65"/>
    </x:row>
    <x:row r="12">
      <x:c r="A12" s="67" t="str">
        <x:v>Yoto positioning</x:v>
      </x:c>
      <x:c r="B12" s="67" t="str">
        <x:v>Yoto</x:v>
      </x:c>
      <x:c r="C12" s="67" t="str">
        <x:v>2026 accessed</x:v>
      </x:c>
      <x:c r="D12" s="67" t="str">
        <x:v>https://us.yotoplay.com/pages/player</x:v>
      </x:c>
      <x:c r="E12" s="67" t="str">
        <x:v>Kids audio competitor benchmark</x:v>
      </x:c>
      <x:c r="F12" s="65"/>
      <x:c r="G12" s="65"/>
      <x:c r="H12" s="65"/>
    </x:row>
    <x:row r="13">
      <x:c r="A13" s="67" t="str">
        <x:v>Tonies positioning</x:v>
      </x:c>
      <x:c r="B13" s="67" t="str">
        <x:v>Tonies</x:v>
      </x:c>
      <x:c r="C13" s="67" t="str">
        <x:v>2025</x:v>
      </x:c>
      <x:c r="D13" s="67" t="str">
        <x:v>https://www.mynewsdesk.com/us/tonies/pressreleases/tonies-r-introduces-new-toniebox-2-and-tonieplay-next-generation-of-interactive-audio-entertainment-redefines-how-children-grow-through-independent-listening-touch-and-play-3401125</x:v>
      </x:c>
      <x:c r="E13" s="67" t="str">
        <x:v>Kids audio competitor benchmark</x:v>
      </x:c>
      <x:c r="F13" s="65"/>
      <x:c r="G13" s="65"/>
      <x:c r="H13" s="65"/>
    </x:row>
    <x:row r="14">
      <x:c r="A14" s="67" t="str">
        <x:v>Epic positioning</x:v>
      </x:c>
      <x:c r="B14" s="67" t="str">
        <x:v>Epic Help Center</x:v>
      </x:c>
      <x:c r="C14" s="67" t="str">
        <x:v>2026 accessed</x:v>
      </x:c>
      <x:c r="D14" s="67" t="str">
        <x:v>https://support.getepic.com/hc/en-us</x:v>
      </x:c>
      <x:c r="E14" s="67" t="str">
        <x:v>Kids reading library competitor</x:v>
      </x:c>
      <x:c r="F14" s="65"/>
      <x:c r="G14" s="65"/>
      <x:c r="H14" s="65"/>
    </x:row>
    <x:row r="15">
      <x:c r="A15" s="67" t="str">
        <x:v>Novel Effect</x:v>
      </x:c>
      <x:c r="B15" s="67" t="str">
        <x:v>Apple App Store</x:v>
      </x:c>
      <x:c r="C15" s="67" t="str">
        <x:v>2026 accessed</x:v>
      </x:c>
      <x:c r="D15" s="67" t="str">
        <x:v>https://apps.apple.com/us/app/novel-effect-read-aloud-books-app/id1057374139</x:v>
      </x:c>
      <x:c r="E15" s="67" t="str">
        <x:v>Read-aloud soundscape competitor</x:v>
      </x:c>
      <x:c r="F15" s="65"/>
      <x:c r="G15" s="65"/>
      <x:c r="H15" s="65"/>
    </x:row>
    <x:row r="16">
      <x:c r="A16" s="67" t="str">
        <x:v>Galatea</x:v>
      </x:c>
      <x:c r="B16" s="67" t="str">
        <x:v>Inkitt / Galatea</x:v>
      </x:c>
      <x:c r="C16" s="67" t="str">
        <x:v>2026 accessed</x:v>
      </x:c>
      <x:c r="D16" s="67" t="str">
        <x:v>https://www.inkitt.com/galatea-app</x:v>
      </x:c>
      <x:c r="E16" s="67" t="str">
        <x:v>Immersive fiction competitor</x:v>
      </x:c>
      <x:c r="F16" s="65"/>
      <x:c r="G16" s="65"/>
      <x:c r="H16" s="65"/>
    </x:row>
    <x:row r="17">
      <x:c r="A17" s="67" t="str">
        <x:v>Internal product docs</x:v>
      </x:c>
      <x:c r="B17" s="67" t="str">
        <x:v>PageCast workspace</x:v>
      </x:c>
      <x:c r="C17" s="67" t="str">
        <x:v>2026-05-16</x:v>
      </x:c>
      <x:c r="D17" s="67" t="str">
        <x:v>docs/pagecast-documentation.md</x:v>
      </x:c>
      <x:c r="E17" s="67" t="str">
        <x:v>Product positioning, launch niche, business model design</x:v>
      </x:c>
      <x:c r="F17" s="65"/>
      <x:c r="G17" s="65"/>
      <x:c r="H17" s="65"/>
    </x:row>
    <x:row r="18">
      <x:c r="A18" s="67" t="str">
        <x:v>Internal research</x:v>
      </x:c>
      <x:c r="B18" s="67" t="str">
        <x:v>PageCast workspace</x:v>
      </x:c>
      <x:c r="C18" s="67" t="str">
        <x:v>2026-05-16</x:v>
      </x:c>
      <x:c r="D18" s="67" t="str">
        <x:v>docs/MARKETING_COMPETITOR_RESEARCH.md</x:v>
      </x:c>
      <x:c r="E18" s="67" t="str">
        <x:v>Competitor and marketing research brief</x:v>
      </x:c>
      <x:c r="F18" s="65"/>
      <x:c r="G18" s="65"/>
      <x:c r="H18" s="65"/>
    </x:row>
  </x:sheetData>
  <x:mergeCells>
    <x:mergeCell ref="A1:E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8.170000076293945" hidden="0" customWidth="1"/>
    <x:col min="3" max="3" width="18.170000076293945" hidden="0" customWidth="1"/>
    <x:col min="4" max="4" width="18.170000076293945" hidden="0" customWidth="1"/>
    <x:col min="5" max="5" width="14.130000114440918" hidden="0" customWidth="1"/>
    <x:col min="6" max="6" width="39.70000076293945" hidden="0" customWidth="1"/>
  </x:cols>
  <x:sheetData>
    <x:row r="1" ht="25.5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72"/>
      <x:c r="H1" s="72"/>
      <x:c r="I1" s="72"/>
      <x:c r="J1" s="72"/>
    </x:row>
    <x:row r="2" ht="16.5" customHeight="1">
      <x:c r="A2" s="64" t="str">
        <x:v>Formula and logic checks for workbook confidence.</x:v>
      </x:c>
      <x:c r="B2" s="64" t="str">
        <x:v>Formula and logic checks for workbook confidence.</x:v>
      </x:c>
      <x:c r="C2" s="64" t="str">
        <x:v>Formula and logic checks for workbook confidence.</x:v>
      </x:c>
      <x:c r="D2" s="64" t="str">
        <x:v>Formula and logic checks for workbook confidence.</x:v>
      </x:c>
      <x:c r="E2" s="64" t="str">
        <x:v>Formula and logic checks for workbook confidence.</x:v>
      </x:c>
      <x:c r="F2" s="64" t="str">
        <x:v>Formula and logic checks for workbook confidence.</x:v>
      </x:c>
      <x:c r="G2" s="64" t="str">
        <x:v>Formula and logic checks for workbook confidence.</x:v>
      </x:c>
      <x:c r="H2" s="64" t="str">
        <x:v>Formula and logic checks for workbook confidence.</x:v>
      </x:c>
    </x:row>
    <x:row r="3">
      <x:c r="A3" s="65"/>
      <x:c r="B3" s="65"/>
      <x:c r="C3" s="65"/>
      <x:c r="D3" s="65"/>
      <x:c r="E3" s="65"/>
      <x:c r="F3" s="65"/>
      <x:c r="G3" s="65"/>
      <x:c r="H3" s="65"/>
    </x:row>
    <x:row r="4">
      <x:c r="A4" s="66" t="str">
        <x:v>Check</x:v>
      </x:c>
      <x:c r="B4" s="66" t="str">
        <x:v>Actual</x:v>
      </x:c>
      <x:c r="C4" s="66" t="str">
        <x:v>Expected</x:v>
      </x:c>
      <x:c r="D4" s="66" t="str">
        <x:v>Difference</x:v>
      </x:c>
      <x:c r="E4" s="66" t="str">
        <x:v>Status</x:v>
      </x:c>
      <x:c r="F4" s="66" t="str">
        <x:v>Notes</x:v>
      </x:c>
      <x:c r="G4" s="65"/>
      <x:c r="H4" s="65"/>
    </x:row>
    <x:row r="5">
      <x:c r="A5" s="67" t="str">
        <x:v>Revenue total ties to components - 2028</x:v>
      </x:c>
      <x:c r="B5" s="69" t="n">
        <x:f>'Revenue Model'!D22</x:f>
        <x:v>1024440</x:v>
      </x:c>
      <x:c r="C5" s="69" t="n">
        <x:f>SUM('Revenue Model'!D10,'Revenue Model'!D13,'Revenue Model'!D17,'Revenue Model'!D20,'Revenue Model'!D21)</x:f>
        <x:v>1024440</x:v>
      </x:c>
      <x:c r="D5" s="69" t="n">
        <x:f>B5-C5</x:f>
        <x:v>0</x:v>
      </x:c>
      <x:c r="E5" s="85" t="str">
        <x:f>IF(ABS(D5)&lt;1,"OK","Check")</x:f>
        <x:v>OK</x:v>
      </x:c>
      <x:c r="F5" s="67" t="str">
        <x:v>Revenue Model row 22 equals sum of revenue lines</x:v>
      </x:c>
      <x:c r="G5" s="65"/>
      <x:c r="H5" s="65"/>
    </x:row>
    <x:row r="6">
      <x:c r="A6" s="67" t="str">
        <x:v>COGS subtotal ties - 2028</x:v>
      </x:c>
      <x:c r="B6" s="69" t="n">
        <x:f>'Costs &amp; COGS'!D10</x:f>
        <x:v>276817.2</x:v>
      </x:c>
      <x:c r="C6" s="69" t="n">
        <x:f>SUM('Costs &amp; COGS'!D6:D9)</x:f>
        <x:v>276817.2</x:v>
      </x:c>
      <x:c r="D6" s="69" t="n">
        <x:f>B6-C6</x:f>
        <x:v>0</x:v>
      </x:c>
      <x:c r="E6" s="85" t="str">
        <x:f>IF(ABS(D6)&lt;1,"OK","Check")</x:f>
        <x:v>OK</x:v>
      </x:c>
      <x:c r="F6" s="67" t="str">
        <x:v>Costs row 10 equals rows 6:9</x:v>
      </x:c>
      <x:c r="G6" s="65"/>
      <x:c r="H6" s="65"/>
    </x:row>
    <x:row r="7">
      <x:c r="A7" s="67" t="str">
        <x:v>Gross profit formula - 2028</x:v>
      </x:c>
      <x:c r="B7" s="69" t="n">
        <x:f>'Costs &amp; COGS'!D11</x:f>
        <x:v>747622.8</x:v>
      </x:c>
      <x:c r="C7" s="69" t="n">
        <x:f>'Costs &amp; COGS'!D5-'Costs &amp; COGS'!D10</x:f>
        <x:v>747622.8</x:v>
      </x:c>
      <x:c r="D7" s="69" t="n">
        <x:f>B7-C7</x:f>
        <x:v>0</x:v>
      </x:c>
      <x:c r="E7" s="85" t="str">
        <x:f>IF(ABS(D7)&lt;1,"OK","Check")</x:f>
        <x:v>OK</x:v>
      </x:c>
      <x:c r="F7" s="67" t="str">
        <x:v>Revenue minus COGS</x:v>
      </x:c>
      <x:c r="G7" s="65"/>
      <x:c r="H7" s="65"/>
    </x:row>
    <x:row r="8">
      <x:c r="A8" s="67" t="str">
        <x:v>Opex subtotal ties - 2028</x:v>
      </x:c>
      <x:c r="B8" s="69" t="n">
        <x:f>'Costs &amp; COGS'!D20</x:f>
        <x:v>685000</x:v>
      </x:c>
      <x:c r="C8" s="69" t="n">
        <x:f>SUM('Costs &amp; COGS'!D13:D19)</x:f>
        <x:v>685000</x:v>
      </x:c>
      <x:c r="D8" s="69" t="n">
        <x:f>B8-C8</x:f>
        <x:v>0</x:v>
      </x:c>
      <x:c r="E8" s="85" t="str">
        <x:f>IF(ABS(D8)&lt;1,"OK","Check")</x:f>
        <x:v>OK</x:v>
      </x:c>
      <x:c r="F8" s="67" t="str">
        <x:v>Costs row 20 equals rows 13:19</x:v>
      </x:c>
      <x:c r="G8" s="65"/>
      <x:c r="H8" s="65"/>
    </x:row>
    <x:row r="9">
      <x:c r="A9" s="67" t="str">
        <x:v>EBITDA formula - 2028</x:v>
      </x:c>
      <x:c r="B9" s="69" t="n">
        <x:f>'Costs &amp; COGS'!D21</x:f>
        <x:v>62622.80000000005</x:v>
      </x:c>
      <x:c r="C9" s="69" t="n">
        <x:f>'Costs &amp; COGS'!D11-'Costs &amp; COGS'!D20</x:f>
        <x:v>62622.80000000005</x:v>
      </x:c>
      <x:c r="D9" s="69" t="n">
        <x:f>B9-C9</x:f>
        <x:v>0</x:v>
      </x:c>
      <x:c r="E9" s="85" t="str">
        <x:f>IF(ABS(D9)&lt;1,"OK","Check")</x:f>
        <x:v>OK</x:v>
      </x:c>
      <x:c r="F9" s="67" t="str">
        <x:v>Gross profit minus opex</x:v>
      </x:c>
      <x:c r="G9" s="65"/>
      <x:c r="H9" s="65"/>
    </x:row>
    <x:row r="10">
      <x:c r="A10" s="67" t="str">
        <x:v>Cash roll-forward - 2028</x:v>
      </x:c>
      <x:c r="B10" s="69" t="n">
        <x:f>'Costs &amp; COGS'!D24</x:f>
        <x:v>-144032.19299999997</x:v>
      </x:c>
      <x:c r="C10" s="69" t="n">
        <x:f>'Costs &amp; COGS'!D23+'Costs &amp; COGS'!D21</x:f>
        <x:v>-144032.19299999997</x:v>
      </x:c>
      <x:c r="D10" s="69" t="n">
        <x:f>B10-C10</x:f>
        <x:v>0</x:v>
      </x:c>
      <x:c r="E10" s="85" t="str">
        <x:f>IF(ABS(D10)&lt;1,"OK","Check")</x:f>
        <x:v>OK</x:v>
      </x:c>
      <x:c r="F10" s="67" t="str">
        <x:v>Ending cash equals starting/prior cash plus EBITDA</x:v>
      </x:c>
      <x:c r="G10" s="65"/>
      <x:c r="H10" s="65"/>
    </x:row>
    <x:row r="11">
      <x:c r="A11" s="67" t="str">
        <x:v>Model status</x:v>
      </x:c>
      <x:c r="B11" s="67" t="str"/>
      <x:c r="C11" s="67" t="str"/>
      <x:c r="D11" s="67" t="str"/>
      <x:c r="E11" s="85" t="str">
        <x:f>IF(COUNTIF(E5:E10,"Check")=0,"OK","Review")</x:f>
        <x:v>OK</x:v>
      </x:c>
      <x:c r="F11" s="67" t="str">
        <x:v>All checks should show OK</x:v>
      </x:c>
      <x:c r="G11" s="65"/>
      <x:c r="H11" s="65"/>
    </x:row>
  </x:sheetData>
  <x:mergeCells>
    <x:mergeCell ref="A1:F1"/>
    <x:mergeCell ref="A2:H2"/>
  </x:mergeCells>
  <x:pageMargins left="0.7" right="0.7" top="0.75" bottom="0.75" header="0.3" footer="0.3"/>
</x:worksheet>
</file>